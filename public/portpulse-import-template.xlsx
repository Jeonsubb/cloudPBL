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기업설정" sheetId="2" state="visible" r:id="rId4"/>
    <sheet name="코드표" sheetId="3" state="visible" r:id="rId5"/>
    <sheet name="선적계획" sheetId="4" state="visible" r:id="rId6"/>
    <sheet name="견적비용" sheetId="5" state="visible" r:id="rId7"/>
    <sheet name="견적헤더" sheetId="6" state="visible" r:id="rId8"/>
    <sheet name="과거선적" sheetId="7" state="visible" r:id="rId9"/>
    <sheet name="시장스냅샷" sheetId="8" state="visible" r:id="rId10"/>
    <sheet name="검증요약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<sst xmlns="http://schemas.openxmlformats.org/spreadsheetml/2006/main" count="1475" uniqueCount="487">
  <si>
    <r>
      <rPr>
        <b val="true"/>
        <sz val="11"/>
        <color rgb="FFFFFFFF"/>
        <rFont val="Calibri"/>
        <family val="0"/>
        <charset val="1"/>
      </rPr>
      <t xml:space="preserve">PortPulse </t>
    </r>
    <r>
      <rPr>
        <b val="true"/>
        <sz val="11"/>
        <color rgb="FFFFFFFF"/>
        <rFont val="Linux Libertine G"/>
        <family val="2"/>
      </rPr>
      <t xml:space="preserve">수출데이터 입력 템플릿 </t>
    </r>
    <r>
      <rPr>
        <b val="true"/>
        <sz val="11"/>
        <color rgb="FFFFFFFF"/>
        <rFont val="Calibri"/>
        <family val="0"/>
        <charset val="1"/>
      </rPr>
      <t xml:space="preserve">+ </t>
    </r>
    <r>
      <rPr>
        <b val="true"/>
        <sz val="11"/>
        <color rgb="FFFFFFFF"/>
        <rFont val="Linux Libertine G"/>
        <family val="2"/>
      </rPr>
      <t xml:space="preserve">목업</t>
    </r>
  </si>
  <si>
    <t xml:space="preserve">항목</t>
  </si>
  <si>
    <t xml:space="preserve">안내</t>
  </si>
  <si>
    <t xml:space="preserve">목적</t>
  </si>
  <si>
    <r>
      <rPr>
        <sz val="11"/>
        <rFont val="Linux Libertine G"/>
        <family val="2"/>
      </rPr>
      <t xml:space="preserve">부산 수출 중소기업의 선적계획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포워더 견적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실적을 같은 스키마로 검증하는 데모용 파일</t>
    </r>
  </si>
  <si>
    <t xml:space="preserve">데이터 구분</t>
  </si>
  <si>
    <r>
      <rPr>
        <sz val="11"/>
        <rFont val="Linux Libertine G"/>
        <family val="2"/>
      </rPr>
      <t xml:space="preserve">기업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선적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견적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과거실적은 </t>
    </r>
    <r>
      <rPr>
        <sz val="11"/>
        <rFont val="Calibri"/>
        <family val="0"/>
        <charset val="1"/>
      </rPr>
      <t xml:space="preserve">SYNTHETIC, </t>
    </r>
    <r>
      <rPr>
        <sz val="11"/>
        <rFont val="Linux Libertine G"/>
        <family val="2"/>
      </rPr>
      <t xml:space="preserve">시장스냅샷은 </t>
    </r>
    <r>
      <rPr>
        <sz val="11"/>
        <rFont val="Calibri"/>
        <family val="0"/>
        <charset val="1"/>
      </rPr>
      <t xml:space="preserve">MARKET_OBSERVED</t>
    </r>
    <r>
      <rPr>
        <sz val="11"/>
        <rFont val="Linux Libertine G"/>
        <family val="2"/>
      </rPr>
      <t xml:space="preserve">로 표시</t>
    </r>
  </si>
  <si>
    <t xml:space="preserve">중요</t>
  </si>
  <si>
    <r>
      <rPr>
        <sz val="11"/>
        <rFont val="Linux Libertine G"/>
        <family val="2"/>
      </rPr>
      <t xml:space="preserve">실제 회사명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사업자번호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바이어 개인정보를 넣지 않았으며 실거래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통관에 사용할 수 없음</t>
    </r>
  </si>
  <si>
    <t xml:space="preserve">입력 순서</t>
  </si>
  <si>
    <r>
      <rPr>
        <sz val="11"/>
        <rFont val="Linux Libertine G"/>
        <family val="2"/>
      </rPr>
      <t xml:space="preserve">기업설정 → 선적계획 → 견적헤더 → 견적비용</t>
    </r>
    <r>
      <rPr>
        <sz val="11"/>
        <rFont val="Calibri"/>
        <family val="0"/>
        <charset val="1"/>
      </rPr>
      <t xml:space="preserve">. </t>
    </r>
    <r>
      <rPr>
        <sz val="11"/>
        <rFont val="Linux Libertine G"/>
        <family val="2"/>
      </rPr>
      <t xml:space="preserve">과거선적은 선택</t>
    </r>
  </si>
  <si>
    <t xml:space="preserve">직접 비교</t>
  </si>
  <si>
    <r>
      <rPr>
        <sz val="11"/>
        <rFont val="Linux Libertine G"/>
        <family val="2"/>
      </rPr>
      <t xml:space="preserve">부산발 </t>
    </r>
    <r>
      <rPr>
        <sz val="11"/>
        <rFont val="Calibri"/>
        <family val="0"/>
        <charset val="1"/>
      </rPr>
      <t xml:space="preserve">40ft Dry FCL + SELLER </t>
    </r>
    <r>
      <rPr>
        <sz val="11"/>
        <rFont val="Linux Libertine G"/>
        <family val="2"/>
      </rPr>
      <t xml:space="preserve">부킹 </t>
    </r>
    <r>
      <rPr>
        <sz val="11"/>
        <rFont val="Calibri"/>
        <family val="0"/>
        <charset val="1"/>
      </rPr>
      <t xml:space="preserve">+ KCCI </t>
    </r>
    <r>
      <rPr>
        <sz val="11"/>
        <rFont val="Linux Libertine G"/>
        <family val="2"/>
      </rPr>
      <t xml:space="preserve">항로 매핑 </t>
    </r>
    <r>
      <rPr>
        <sz val="11"/>
        <rFont val="Calibri"/>
        <family val="0"/>
        <charset val="1"/>
      </rPr>
      <t xml:space="preserve">+ </t>
    </r>
    <r>
      <rPr>
        <sz val="11"/>
        <rFont val="Linux Libertine G"/>
        <family val="2"/>
      </rPr>
      <t xml:space="preserve">비교 가능한 </t>
    </r>
    <r>
      <rPr>
        <sz val="11"/>
        <rFont val="Calibri"/>
        <family val="0"/>
        <charset val="1"/>
      </rPr>
      <t xml:space="preserve">Charge Line</t>
    </r>
    <r>
      <rPr>
        <sz val="11"/>
        <rFont val="Linux Libertine G"/>
        <family val="2"/>
      </rPr>
      <t xml:space="preserve">일 때만 </t>
    </r>
    <r>
      <rPr>
        <sz val="11"/>
        <rFont val="Calibri"/>
        <family val="0"/>
        <charset val="1"/>
      </rPr>
      <t xml:space="preserve">DIRECT</t>
    </r>
  </si>
  <si>
    <t xml:space="preserve">제한</t>
  </si>
  <si>
    <r>
      <rPr>
        <sz val="11"/>
        <rFont val="Calibri"/>
        <family val="0"/>
        <charset val="1"/>
      </rPr>
      <t xml:space="preserve">20ft·LCL·Reefer·DG·OOG·BUYER </t>
    </r>
    <r>
      <rPr>
        <sz val="11"/>
        <rFont val="Linux Libertine G"/>
        <family val="2"/>
      </rPr>
      <t xml:space="preserve">부킹은 </t>
    </r>
    <r>
      <rPr>
        <sz val="11"/>
        <rFont val="Calibri"/>
        <family val="0"/>
        <charset val="1"/>
      </rPr>
      <t xml:space="preserve">KCCI </t>
    </r>
    <r>
      <rPr>
        <sz val="11"/>
        <rFont val="Linux Libertine G"/>
        <family val="2"/>
      </rPr>
      <t xml:space="preserve">절대금액 비교를 하지 않음</t>
    </r>
  </si>
  <si>
    <t xml:space="preserve">견적 총액</t>
  </si>
  <si>
    <r>
      <rPr>
        <sz val="11"/>
        <rFont val="Linux Libertine G"/>
        <family val="2"/>
      </rPr>
      <t xml:space="preserve">견적헤더의 </t>
    </r>
    <r>
      <rPr>
        <sz val="11"/>
        <rFont val="Calibri"/>
        <family val="0"/>
        <charset val="1"/>
      </rPr>
      <t xml:space="preserve">header_total</t>
    </r>
    <r>
      <rPr>
        <sz val="11"/>
        <rFont val="Linux Libertine G"/>
        <family val="2"/>
      </rPr>
      <t xml:space="preserve">과 견적비용의 </t>
    </r>
    <r>
      <rPr>
        <sz val="11"/>
        <rFont val="Calibri"/>
        <family val="0"/>
        <charset val="1"/>
      </rPr>
      <t xml:space="preserve">line_total </t>
    </r>
    <r>
      <rPr>
        <sz val="11"/>
        <rFont val="Linux Libertine G"/>
        <family val="2"/>
      </rPr>
      <t xml:space="preserve">합계가 일치해야 함</t>
    </r>
  </si>
  <si>
    <t xml:space="preserve">날짜</t>
  </si>
  <si>
    <r>
      <rPr>
        <sz val="11"/>
        <rFont val="Calibri"/>
        <family val="0"/>
        <charset val="1"/>
      </rPr>
      <t xml:space="preserve">cargo_ready_date ≤ ETD </t>
    </r>
    <r>
      <rPr>
        <sz val="11"/>
        <rFont val="Linux Libertine G"/>
        <family val="2"/>
      </rPr>
      <t xml:space="preserve">가능창</t>
    </r>
    <r>
      <rPr>
        <sz val="11"/>
        <rFont val="Calibri"/>
        <family val="0"/>
        <charset val="1"/>
      </rPr>
      <t xml:space="preserve">, quoted_at ≤ valid_until, planned_etd &lt; planned_eta</t>
    </r>
  </si>
  <si>
    <t xml:space="preserve">업로드</t>
  </si>
  <si>
    <r>
      <rPr>
        <sz val="11"/>
        <rFont val="Linux Libertine G"/>
        <family val="2"/>
      </rPr>
      <t xml:space="preserve">파생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검증 열은 서비스가 다시 계산하며 사용자는 원본 입력 열만 수정</t>
    </r>
  </si>
  <si>
    <t xml:space="preserve">주요 공식 근거</t>
  </si>
  <si>
    <t xml:space="preserve">URL</t>
  </si>
  <si>
    <t xml:space="preserve">기준</t>
  </si>
  <si>
    <t xml:space="preserve">비고</t>
  </si>
  <si>
    <t xml:space="preserve">수출신고서 작성요령</t>
  </si>
  <si>
    <t xml:space="preserve">https://www.law.go.kr/LSW/flDownload.do?bylClsCd=200201&amp;flNm=%5B%EB%B3%84%ED%91%9C%5D+%EC%88%98%EC%B6%9C%EC%8B%A0%EA%B3%A0%EC%84%9C+%EC%9E%91%EC%84%B1%EC%9A%94%EB%A0%B9&amp;flSeq=139997973</t>
  </si>
  <si>
    <t xml:space="preserve">현행 관세 고시</t>
  </si>
  <si>
    <r>
      <rPr>
        <sz val="11"/>
        <rFont val="Calibri"/>
        <family val="0"/>
        <charset val="1"/>
      </rPr>
      <t xml:space="preserve">Invoice·Packing List·</t>
    </r>
    <r>
      <rPr>
        <sz val="11"/>
        <rFont val="Linux Libertine G"/>
        <family val="2"/>
      </rPr>
      <t xml:space="preserve">수출신고 필드 근거</t>
    </r>
  </si>
  <si>
    <t xml:space="preserve">KITA Packing List</t>
  </si>
  <si>
    <t xml:space="preserve">https://www.kita.net/board/format/formatDetail.do?postIndex=1863940</t>
  </si>
  <si>
    <t xml:space="preserve">무역실무 서식</t>
  </si>
  <si>
    <r>
      <rPr>
        <sz val="11"/>
        <rFont val="Linux Libertine G"/>
        <family val="2"/>
      </rPr>
      <t xml:space="preserve">포장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수량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중량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용적 필드</t>
    </r>
  </si>
  <si>
    <t xml:space="preserve">KOBC KCCI</t>
  </si>
  <si>
    <t xml:space="preserve">https://www.kobc.or.kr/ebz/shippinginfo/kcci/gridList.do?mId=0304000000</t>
  </si>
  <si>
    <t xml:space="preserve">2026-07-06 Snapshot</t>
  </si>
  <si>
    <r>
      <rPr>
        <sz val="11"/>
        <rFont val="Linux Libertine G"/>
        <family val="2"/>
      </rPr>
      <t xml:space="preserve">부산발 </t>
    </r>
    <r>
      <rPr>
        <sz val="11"/>
        <rFont val="Calibri"/>
        <family val="0"/>
        <charset val="1"/>
      </rPr>
      <t xml:space="preserve">40ft Dry </t>
    </r>
    <r>
      <rPr>
        <sz val="11"/>
        <rFont val="Linux Libertine G"/>
        <family val="2"/>
      </rPr>
      <t xml:space="preserve">주간 기준</t>
    </r>
  </si>
  <si>
    <r>
      <rPr>
        <sz val="11"/>
        <rFont val="Calibri"/>
        <family val="0"/>
        <charset val="1"/>
      </rPr>
      <t xml:space="preserve">KCCI </t>
    </r>
    <r>
      <rPr>
        <sz val="11"/>
        <rFont val="Linux Libertine G"/>
        <family val="2"/>
      </rPr>
      <t xml:space="preserve">데이터 설명</t>
    </r>
  </si>
  <si>
    <t xml:space="preserve">https://www.data.go.kr/data/15131881/fileData.do</t>
  </si>
  <si>
    <t xml:space="preserve">공식 공공데이터 설명</t>
  </si>
  <si>
    <t xml:space="preserve">포함비용과 범위 확인</t>
  </si>
  <si>
    <t xml:space="preserve">UN/LOCODE</t>
  </si>
  <si>
    <t xml:space="preserve">https://unece.org/trade/cefact/UNLOCODE-Download</t>
  </si>
  <si>
    <t xml:space="preserve">표준 항구 코드</t>
  </si>
  <si>
    <r>
      <rPr>
        <sz val="11"/>
        <rFont val="Calibri"/>
        <family val="0"/>
        <charset val="1"/>
      </rPr>
      <t xml:space="preserve">POL/POD </t>
    </r>
    <r>
      <rPr>
        <sz val="11"/>
        <rFont val="Linux Libertine G"/>
        <family val="2"/>
      </rPr>
      <t xml:space="preserve">코드</t>
    </r>
  </si>
  <si>
    <t xml:space="preserve">DCSA Booking</t>
  </si>
  <si>
    <t xml:space="preserve">https://dcsa.org/standards/booking</t>
  </si>
  <si>
    <t xml:space="preserve">산업 표준</t>
  </si>
  <si>
    <r>
      <rPr>
        <sz val="11"/>
        <rFont val="Calibri"/>
        <family val="0"/>
        <charset val="1"/>
      </rPr>
      <t xml:space="preserve">Booking </t>
    </r>
    <r>
      <rPr>
        <sz val="11"/>
        <rFont val="Linux Libertine G"/>
        <family val="2"/>
      </rPr>
      <t xml:space="preserve">데이터 구조 참고</t>
    </r>
  </si>
  <si>
    <t xml:space="preserve">profile_ref</t>
  </si>
  <si>
    <t xml:space="preserve">data_provenance</t>
  </si>
  <si>
    <t xml:space="preserve">company_name</t>
  </si>
  <si>
    <t xml:space="preserve">default_currency</t>
  </si>
  <si>
    <t xml:space="preserve">default_pol_unlocode</t>
  </si>
  <si>
    <t xml:space="preserve">main_carriage_payer</t>
  </si>
  <si>
    <t xml:space="preserve">booking_controller</t>
  </si>
  <si>
    <t xml:space="preserve">risk_tolerance</t>
  </si>
  <si>
    <t xml:space="preserve">budget_warning_pct</t>
  </si>
  <si>
    <t xml:space="preserve">min_delivery_buffer_days</t>
  </si>
  <si>
    <t xml:space="preserve">timezone</t>
  </si>
  <si>
    <t xml:space="preserve">notification_channel</t>
  </si>
  <si>
    <t xml:space="preserve">quiet_hours</t>
  </si>
  <si>
    <t xml:space="preserve">notes</t>
  </si>
  <si>
    <t xml:space="preserve">COMP-MOCK-001</t>
  </si>
  <si>
    <t xml:space="preserve">SYNTHETIC</t>
  </si>
  <si>
    <r>
      <rPr>
        <sz val="11"/>
        <rFont val="Linux Libertine G"/>
        <family val="2"/>
      </rPr>
      <t xml:space="preserve">부산정밀모빌리티</t>
    </r>
    <r>
      <rPr>
        <sz val="11"/>
        <rFont val="Calibri"/>
        <family val="0"/>
        <charset val="1"/>
      </rPr>
      <t xml:space="preserve">(</t>
    </r>
    <r>
      <rPr>
        <sz val="11"/>
        <rFont val="Linux Libertine G"/>
        <family val="2"/>
      </rPr>
      <t xml:space="preserve">주</t>
    </r>
    <r>
      <rPr>
        <sz val="11"/>
        <rFont val="Calibri"/>
        <family val="0"/>
        <charset val="1"/>
      </rPr>
      <t xml:space="preserve">) [</t>
    </r>
    <r>
      <rPr>
        <sz val="11"/>
        <rFont val="Linux Libertine G"/>
        <family val="2"/>
      </rPr>
      <t xml:space="preserve">가상</t>
    </r>
    <r>
      <rPr>
        <sz val="11"/>
        <rFont val="Calibri"/>
        <family val="0"/>
        <charset val="1"/>
      </rPr>
      <t xml:space="preserve">]</t>
    </r>
  </si>
  <si>
    <t xml:space="preserve">USD</t>
  </si>
  <si>
    <t xml:space="preserve">KRPUS</t>
  </si>
  <si>
    <t xml:space="preserve">SELLER</t>
  </si>
  <si>
    <t xml:space="preserve">BALANCED</t>
  </si>
  <si>
    <t xml:space="preserve">Asia/Seoul</t>
  </si>
  <si>
    <t xml:space="preserve">EMAIL</t>
  </si>
  <si>
    <t xml:space="preserve">19:00-08:00</t>
  </si>
  <si>
    <r>
      <rPr>
        <sz val="11"/>
        <rFont val="Linux Libertine G"/>
        <family val="2"/>
      </rPr>
      <t xml:space="preserve">가상의 자동차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산업기계 부품 수출 중소기업</t>
    </r>
    <r>
      <rPr>
        <sz val="11"/>
        <rFont val="Calibri"/>
        <family val="0"/>
        <charset val="1"/>
      </rPr>
      <t xml:space="preserve">. </t>
    </r>
    <r>
      <rPr>
        <sz val="11"/>
        <rFont val="Linux Libertine G"/>
        <family val="2"/>
      </rPr>
      <t xml:space="preserve">실제 기업이 아님</t>
    </r>
    <r>
      <rPr>
        <sz val="11"/>
        <rFont val="Calibri"/>
        <family val="0"/>
        <charset val="1"/>
      </rPr>
      <t xml:space="preserve">.</t>
    </r>
  </si>
  <si>
    <t xml:space="preserve">INCOTERMS 2020</t>
  </si>
  <si>
    <r>
      <rPr>
        <b val="true"/>
        <sz val="11"/>
        <color rgb="FFFFFFFF"/>
        <rFont val="Linux Libertine G"/>
        <family val="2"/>
      </rPr>
      <t xml:space="preserve">일반적 </t>
    </r>
    <r>
      <rPr>
        <b val="true"/>
        <sz val="11"/>
        <color rgb="FFFFFFFF"/>
        <rFont val="Calibri"/>
        <family val="0"/>
        <charset val="1"/>
      </rPr>
      <t xml:space="preserve">main carriage payer</t>
    </r>
  </si>
  <si>
    <t xml:space="preserve">주의</t>
  </si>
  <si>
    <t xml:space="preserve">equipment_size_type</t>
  </si>
  <si>
    <r>
      <rPr>
        <b val="true"/>
        <sz val="11"/>
        <color rgb="FFFFFFFF"/>
        <rFont val="Linux Libertine G"/>
        <family val="2"/>
      </rPr>
      <t xml:space="preserve">직접 </t>
    </r>
    <r>
      <rPr>
        <b val="true"/>
        <sz val="11"/>
        <color rgb="FFFFFFFF"/>
        <rFont val="Calibri"/>
        <family val="0"/>
        <charset val="1"/>
      </rPr>
      <t xml:space="preserve">KCCI </t>
    </r>
    <r>
      <rPr>
        <b val="true"/>
        <sz val="11"/>
        <color rgb="FFFFFFFF"/>
        <rFont val="Linux Libertine G"/>
        <family val="2"/>
      </rPr>
      <t xml:space="preserve">비교</t>
    </r>
  </si>
  <si>
    <t xml:space="preserve">POD UN/LOCODE</t>
  </si>
  <si>
    <t xml:space="preserve">KCCI route</t>
  </si>
  <si>
    <t xml:space="preserve">Route</t>
  </si>
  <si>
    <t xml:space="preserve">charge_category</t>
  </si>
  <si>
    <r>
      <rPr>
        <b val="true"/>
        <sz val="11"/>
        <color rgb="FFFFFFFF"/>
        <rFont val="Calibri"/>
        <family val="0"/>
        <charset val="1"/>
      </rPr>
      <t xml:space="preserve">KCCI </t>
    </r>
    <r>
      <rPr>
        <b val="true"/>
        <sz val="11"/>
        <color rgb="FFFFFFFF"/>
        <rFont val="Linux Libertine G"/>
        <family val="2"/>
      </rPr>
      <t xml:space="preserve">기본 비교</t>
    </r>
  </si>
  <si>
    <t xml:space="preserve">charge_basis</t>
  </si>
  <si>
    <t xml:space="preserve">cost_scope</t>
  </si>
  <si>
    <t xml:space="preserve">cargo_profile</t>
  </si>
  <si>
    <t xml:space="preserve">load_type</t>
  </si>
  <si>
    <t xml:space="preserve">EXW</t>
  </si>
  <si>
    <t xml:space="preserve">BUYER</t>
  </si>
  <si>
    <t xml:space="preserve">실제 계약 운영을 확인</t>
  </si>
  <si>
    <t xml:space="preserve">20GP</t>
  </si>
  <si>
    <t xml:space="preserve">N</t>
  </si>
  <si>
    <t xml:space="preserve">USLGB</t>
  </si>
  <si>
    <t xml:space="preserve">KUWI</t>
  </si>
  <si>
    <t xml:space="preserve">USWC</t>
  </si>
  <si>
    <t xml:space="preserve">OCEAN_BASE</t>
  </si>
  <si>
    <t xml:space="preserve">Y</t>
  </si>
  <si>
    <t xml:space="preserve">PER_SHIPMENT</t>
  </si>
  <si>
    <t xml:space="preserve">OCEAN_COMPARABLE</t>
  </si>
  <si>
    <t xml:space="preserve">DRY</t>
  </si>
  <si>
    <t xml:space="preserve">FCL</t>
  </si>
  <si>
    <t xml:space="preserve">FCA</t>
  </si>
  <si>
    <t xml:space="preserve">40GP</t>
  </si>
  <si>
    <t xml:space="preserve">USLAX</t>
  </si>
  <si>
    <t xml:space="preserve">FUEL_SURCHARGE</t>
  </si>
  <si>
    <t xml:space="preserve">PER_BL</t>
  </si>
  <si>
    <t xml:space="preserve">OCEAN_ALL_IN</t>
  </si>
  <si>
    <t xml:space="preserve">REEFER</t>
  </si>
  <si>
    <t xml:space="preserve">LCL</t>
  </si>
  <si>
    <t xml:space="preserve">FAS</t>
  </si>
  <si>
    <t xml:space="preserve">해상 전용</t>
  </si>
  <si>
    <t xml:space="preserve">40HC</t>
  </si>
  <si>
    <t xml:space="preserve">USNYC</t>
  </si>
  <si>
    <t xml:space="preserve">KUEI</t>
  </si>
  <si>
    <t xml:space="preserve">USEC</t>
  </si>
  <si>
    <t xml:space="preserve">ORIGIN_LOCAL</t>
  </si>
  <si>
    <t xml:space="preserve">PER_CONTAINER</t>
  </si>
  <si>
    <t xml:space="preserve">ORIGIN_ONLY</t>
  </si>
  <si>
    <t xml:space="preserve">DG</t>
  </si>
  <si>
    <t xml:space="preserve">FOB</t>
  </si>
  <si>
    <r>
      <rPr>
        <sz val="11"/>
        <rFont val="Linux Libertine G"/>
        <family val="2"/>
      </rPr>
      <t xml:space="preserve">해상 전용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바이어 부킹이 일반적</t>
    </r>
  </si>
  <si>
    <t xml:space="preserve">20RF</t>
  </si>
  <si>
    <t xml:space="preserve">USSAV</t>
  </si>
  <si>
    <t xml:space="preserve">DESTINATION_LOCAL</t>
  </si>
  <si>
    <t xml:space="preserve">PER_TEU</t>
  </si>
  <si>
    <t xml:space="preserve">ORIGIN_ALL_IN</t>
  </si>
  <si>
    <t xml:space="preserve">OOG</t>
  </si>
  <si>
    <t xml:space="preserve">CFR</t>
  </si>
  <si>
    <t xml:space="preserve">40RF</t>
  </si>
  <si>
    <t xml:space="preserve">NLRTM</t>
  </si>
  <si>
    <t xml:space="preserve">KNEI</t>
  </si>
  <si>
    <t xml:space="preserve">Europe</t>
  </si>
  <si>
    <t xml:space="preserve">INLAND</t>
  </si>
  <si>
    <t xml:space="preserve">PER_FEU</t>
  </si>
  <si>
    <t xml:space="preserve">DOOR_TO_PORT</t>
  </si>
  <si>
    <t xml:space="preserve">CIF</t>
  </si>
  <si>
    <r>
      <rPr>
        <sz val="11"/>
        <rFont val="Linux Libertine G"/>
        <family val="2"/>
      </rPr>
      <t xml:space="preserve">해상 전용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보험 포함</t>
    </r>
  </si>
  <si>
    <t xml:space="preserve">DEHAM</t>
  </si>
  <si>
    <t xml:space="preserve">CUSTOMS</t>
  </si>
  <si>
    <t xml:space="preserve">PER_CBM</t>
  </si>
  <si>
    <t xml:space="preserve">DOOR_TO_DOOR</t>
  </si>
  <si>
    <t xml:space="preserve">CPT</t>
  </si>
  <si>
    <t xml:space="preserve">복합운송 가능</t>
  </si>
  <si>
    <t xml:space="preserve">ESBCN</t>
  </si>
  <si>
    <t xml:space="preserve">KMDI</t>
  </si>
  <si>
    <t xml:space="preserve">Mediterranean</t>
  </si>
  <si>
    <t xml:space="preserve">INSURANCE</t>
  </si>
  <si>
    <t xml:space="preserve">W_M</t>
  </si>
  <si>
    <t xml:space="preserve">CIP</t>
  </si>
  <si>
    <r>
      <rPr>
        <sz val="11"/>
        <rFont val="Linux Libertine G"/>
        <family val="2"/>
      </rPr>
      <t xml:space="preserve">복합운송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보험 포함</t>
    </r>
  </si>
  <si>
    <t xml:space="preserve">OTHER</t>
  </si>
  <si>
    <t xml:space="preserve">AEAUH</t>
  </si>
  <si>
    <t xml:space="preserve">KMEI</t>
  </si>
  <si>
    <t xml:space="preserve">Middle East</t>
  </si>
  <si>
    <t xml:space="preserve">PERCENT</t>
  </si>
  <si>
    <t xml:space="preserve">DAP</t>
  </si>
  <si>
    <t xml:space="preserve">도착지 인도</t>
  </si>
  <si>
    <t xml:space="preserve">SGSIN</t>
  </si>
  <si>
    <t xml:space="preserve">KSEI</t>
  </si>
  <si>
    <t xml:space="preserve">South East Asia</t>
  </si>
  <si>
    <t xml:space="preserve">DPU</t>
  </si>
  <si>
    <t xml:space="preserve">양하 포함</t>
  </si>
  <si>
    <t xml:space="preserve">JPTYO</t>
  </si>
  <si>
    <t xml:space="preserve">KJI</t>
  </si>
  <si>
    <t xml:space="preserve">Japan</t>
  </si>
  <si>
    <t xml:space="preserve">DDP</t>
  </si>
  <si>
    <r>
      <rPr>
        <sz val="11"/>
        <rFont val="Linux Libertine G"/>
        <family val="2"/>
      </rPr>
      <t xml:space="preserve">수입통관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관세 책임 주의</t>
    </r>
  </si>
  <si>
    <t xml:space="preserve">CNSHA</t>
  </si>
  <si>
    <t xml:space="preserve">KCI</t>
  </si>
  <si>
    <t xml:space="preserve">China</t>
  </si>
  <si>
    <r>
      <rPr>
        <sz val="11"/>
        <rFont val="Calibri"/>
        <family val="0"/>
        <charset val="1"/>
      </rPr>
      <t xml:space="preserve">Incoterms</t>
    </r>
    <r>
      <rPr>
        <sz val="11"/>
        <rFont val="Linux Libertine G"/>
        <family val="2"/>
      </rPr>
      <t xml:space="preserve">만으로 부킹 주체를 확정하지 말고 사용자에게 확인</t>
    </r>
  </si>
  <si>
    <t xml:space="preserve">AUMEL</t>
  </si>
  <si>
    <t xml:space="preserve">KAUI</t>
  </si>
  <si>
    <t xml:space="preserve">Australia</t>
  </si>
  <si>
    <r>
      <rPr>
        <sz val="11"/>
        <rFont val="Linux Libertine G"/>
        <family val="2"/>
      </rPr>
      <t xml:space="preserve">샘플 매핑</t>
    </r>
    <r>
      <rPr>
        <sz val="11"/>
        <rFont val="Calibri"/>
        <family val="0"/>
        <charset val="1"/>
      </rPr>
      <t xml:space="preserve">. </t>
    </r>
    <r>
      <rPr>
        <sz val="11"/>
        <rFont val="Linux Libertine G"/>
        <family val="2"/>
      </rPr>
      <t xml:space="preserve">운영은 공식 </t>
    </r>
    <r>
      <rPr>
        <sz val="11"/>
        <rFont val="Calibri"/>
        <family val="0"/>
        <charset val="1"/>
      </rPr>
      <t xml:space="preserve">Route Definition</t>
    </r>
    <r>
      <rPr>
        <sz val="11"/>
        <rFont val="Linux Libertine G"/>
        <family val="2"/>
      </rPr>
      <t xml:space="preserve">으로 확장</t>
    </r>
  </si>
  <si>
    <t xml:space="preserve">shipment_ref</t>
  </si>
  <si>
    <t xml:space="preserve">cargo_ready_date</t>
  </si>
  <si>
    <t xml:space="preserve">etd_window_start</t>
  </si>
  <si>
    <t xml:space="preserve">etd_window_end</t>
  </si>
  <si>
    <t xml:space="preserve">required_delivery_date</t>
  </si>
  <si>
    <t xml:space="preserve">pol_unlocode</t>
  </si>
  <si>
    <t xml:space="preserve">pod_unlocode</t>
  </si>
  <si>
    <t xml:space="preserve">container_count</t>
  </si>
  <si>
    <t xml:space="preserve">package_count</t>
  </si>
  <si>
    <t xml:space="preserve">gross_weight_kg</t>
  </si>
  <si>
    <t xml:space="preserve">volume_cbm</t>
  </si>
  <si>
    <t xml:space="preserve">hs6</t>
  </si>
  <si>
    <t xml:space="preserve">trade_description</t>
  </si>
  <si>
    <t xml:space="preserve">incoterm_code</t>
  </si>
  <si>
    <t xml:space="preserve">incoterm_named_place</t>
  </si>
  <si>
    <t xml:space="preserve">incoterm_version</t>
  </si>
  <si>
    <t xml:space="preserve">hard_deadline_yn</t>
  </si>
  <si>
    <t xml:space="preserve">max_shift_days</t>
  </si>
  <si>
    <t xml:space="preserve">target_amount</t>
  </si>
  <si>
    <t xml:space="preserve">target_currency</t>
  </si>
  <si>
    <t xml:space="preserve">transshipment_allowed_yn</t>
  </si>
  <si>
    <t xml:space="preserve">validation_result</t>
  </si>
  <si>
    <t xml:space="preserve">validation_message</t>
  </si>
  <si>
    <t xml:space="preserve">kcci_eligibility</t>
  </si>
  <si>
    <t xml:space="preserve">kcci_route_code</t>
  </si>
  <si>
    <t xml:space="preserve">SHP-2026-0001</t>
  </si>
  <si>
    <t xml:space="preserve">870899</t>
  </si>
  <si>
    <t xml:space="preserve">AUTOMOTIVE BRACKET</t>
  </si>
  <si>
    <t xml:space="preserve">LONG BEACH PORT</t>
  </si>
  <si>
    <t xml:space="preserve">2020</t>
  </si>
  <si>
    <r>
      <rPr>
        <sz val="11"/>
        <rFont val="Calibri"/>
        <family val="0"/>
        <charset val="1"/>
      </rPr>
      <t xml:space="preserve">KCCI </t>
    </r>
    <r>
      <rPr>
        <sz val="11"/>
        <rFont val="Linux Libertine G"/>
        <family val="2"/>
      </rPr>
      <t xml:space="preserve">직접 비교 정상 사례</t>
    </r>
  </si>
  <si>
    <t xml:space="preserve">SHP-2026-0002</t>
  </si>
  <si>
    <t xml:space="preserve">848390</t>
  </si>
  <si>
    <t xml:space="preserve">GEAR HOUSING</t>
  </si>
  <si>
    <t xml:space="preserve">ROTTERDAM PORT</t>
  </si>
  <si>
    <r>
      <rPr>
        <sz val="11"/>
        <rFont val="Linux Libertine G"/>
        <family val="2"/>
      </rPr>
      <t xml:space="preserve">유럽 </t>
    </r>
    <r>
      <rPr>
        <sz val="11"/>
        <rFont val="Calibri"/>
        <family val="0"/>
        <charset val="1"/>
      </rPr>
      <t xml:space="preserve">40ft Dry</t>
    </r>
  </si>
  <si>
    <t xml:space="preserve">SHP-2026-0003</t>
  </si>
  <si>
    <t xml:space="preserve">STEEL MOUNTING PART</t>
  </si>
  <si>
    <t xml:space="preserve">SINGAPORE PORT</t>
  </si>
  <si>
    <r>
      <rPr>
        <sz val="11"/>
        <rFont val="Linux Libertine G"/>
        <family val="2"/>
      </rPr>
      <t xml:space="preserve">동남아 </t>
    </r>
    <r>
      <rPr>
        <sz val="11"/>
        <rFont val="Calibri"/>
        <family val="0"/>
        <charset val="1"/>
      </rPr>
      <t xml:space="preserve">40ft Dry</t>
    </r>
  </si>
  <si>
    <t xml:space="preserve">SHP-2026-0004</t>
  </si>
  <si>
    <t xml:space="preserve">SMALL GEAR PART</t>
  </si>
  <si>
    <t xml:space="preserve">TOKYO PORT</t>
  </si>
  <si>
    <r>
      <rPr>
        <sz val="11"/>
        <rFont val="Calibri"/>
        <family val="0"/>
        <charset val="1"/>
      </rPr>
      <t xml:space="preserve">20ft</t>
    </r>
    <r>
      <rPr>
        <sz val="11"/>
        <rFont val="Linux Libertine G"/>
        <family val="2"/>
      </rPr>
      <t xml:space="preserve">이므로 </t>
    </r>
    <r>
      <rPr>
        <sz val="11"/>
        <rFont val="Calibri"/>
        <family val="0"/>
        <charset val="1"/>
      </rPr>
      <t xml:space="preserve">KCCI </t>
    </r>
    <r>
      <rPr>
        <sz val="11"/>
        <rFont val="Linux Libertine G"/>
        <family val="2"/>
      </rPr>
      <t xml:space="preserve">절대금액 비교 제외</t>
    </r>
  </si>
  <si>
    <t xml:space="preserve">SHP-2026-0005</t>
  </si>
  <si>
    <t xml:space="preserve">210690</t>
  </si>
  <si>
    <t xml:space="preserve">TEMPERATURE CONTROLLED FOOD ADDITIVE</t>
  </si>
  <si>
    <t xml:space="preserve">HAMBURG PORT</t>
  </si>
  <si>
    <r>
      <rPr>
        <sz val="11"/>
        <rFont val="Calibri"/>
        <family val="0"/>
        <charset val="1"/>
      </rPr>
      <t xml:space="preserve">Reefer </t>
    </r>
    <r>
      <rPr>
        <sz val="11"/>
        <rFont val="Linux Libertine G"/>
        <family val="2"/>
      </rPr>
      <t xml:space="preserve">비교 제외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온도조건 별도 필요</t>
    </r>
  </si>
  <si>
    <t xml:space="preserve">SHP-2026-0006</t>
  </si>
  <si>
    <t xml:space="preserve">MIXED MACHINERY PARTS</t>
  </si>
  <si>
    <t xml:space="preserve">LONG BEACH CFS</t>
  </si>
  <si>
    <r>
      <rPr>
        <sz val="11"/>
        <rFont val="Calibri"/>
        <family val="0"/>
        <charset val="1"/>
      </rPr>
      <t xml:space="preserve">LCL</t>
    </r>
    <r>
      <rPr>
        <sz val="11"/>
        <rFont val="Linux Libertine G"/>
        <family val="2"/>
      </rPr>
      <t xml:space="preserve">은 </t>
    </r>
    <r>
      <rPr>
        <sz val="11"/>
        <rFont val="Calibri"/>
        <family val="0"/>
        <charset val="1"/>
      </rPr>
      <t xml:space="preserve">CBM/W_M </t>
    </r>
    <r>
      <rPr>
        <sz val="11"/>
        <rFont val="Linux Libertine G"/>
        <family val="2"/>
      </rPr>
      <t xml:space="preserve">기준</t>
    </r>
    <r>
      <rPr>
        <sz val="11"/>
        <rFont val="Calibri"/>
        <family val="0"/>
        <charset val="1"/>
      </rPr>
      <t xml:space="preserve">·KCCI </t>
    </r>
    <r>
      <rPr>
        <sz val="11"/>
        <rFont val="Linux Libertine G"/>
        <family val="2"/>
      </rPr>
      <t xml:space="preserve">직접 비교 제외</t>
    </r>
  </si>
  <si>
    <t xml:space="preserve">SHP-2026-0007</t>
  </si>
  <si>
    <t xml:space="preserve">VEHICLE SUPPORT PART</t>
  </si>
  <si>
    <t xml:space="preserve">BUSAN PORT</t>
  </si>
  <si>
    <t xml:space="preserve">바이어 부킹이므로 직접 부킹 권고 금지</t>
  </si>
  <si>
    <t xml:space="preserve">SHP-2026-0008</t>
  </si>
  <si>
    <t xml:space="preserve">INDUSTRIAL DRIVE PART</t>
  </si>
  <si>
    <t xml:space="preserve">ABU DHABI WAREHOUSE</t>
  </si>
  <si>
    <r>
      <rPr>
        <sz val="11"/>
        <rFont val="Calibri"/>
        <family val="0"/>
        <charset val="1"/>
      </rPr>
      <t xml:space="preserve">Door </t>
    </r>
    <r>
      <rPr>
        <sz val="11"/>
        <rFont val="Linux Libertine G"/>
        <family val="2"/>
      </rPr>
      <t xml:space="preserve">견적 중 해상비만 </t>
    </r>
    <r>
      <rPr>
        <sz val="11"/>
        <rFont val="Calibri"/>
        <family val="0"/>
        <charset val="1"/>
      </rPr>
      <t xml:space="preserve">KCCI</t>
    </r>
    <r>
      <rPr>
        <sz val="11"/>
        <rFont val="Linux Libertine G"/>
        <family val="2"/>
      </rPr>
      <t xml:space="preserve">와 비교</t>
    </r>
  </si>
  <si>
    <t xml:space="preserve">quote_ref</t>
  </si>
  <si>
    <t xml:space="preserve">line_no</t>
  </si>
  <si>
    <t xml:space="preserve">charge_code</t>
  </si>
  <si>
    <t xml:space="preserve">charge_name</t>
  </si>
  <si>
    <t xml:space="preserve">category</t>
  </si>
  <si>
    <t xml:space="preserve">amount</t>
  </si>
  <si>
    <t xml:space="preserve">currency</t>
  </si>
  <si>
    <t xml:space="preserve">basis</t>
  </si>
  <si>
    <t xml:space="preserve">quantity</t>
  </si>
  <si>
    <t xml:space="preserve">prepaid_collect</t>
  </si>
  <si>
    <t xml:space="preserve">kcci_comparable_yn</t>
  </si>
  <si>
    <t xml:space="preserve">line_total</t>
  </si>
  <si>
    <t xml:space="preserve">Q-0001-A</t>
  </si>
  <si>
    <t xml:space="preserve">OFT</t>
  </si>
  <si>
    <t xml:space="preserve">Ocean Freight</t>
  </si>
  <si>
    <t xml:space="preserve">PREPAID</t>
  </si>
  <si>
    <t xml:space="preserve">BAF</t>
  </si>
  <si>
    <t xml:space="preserve">Bunker Adjustment Factor</t>
  </si>
  <si>
    <t xml:space="preserve">LSS</t>
  </si>
  <si>
    <t xml:space="preserve">Low Sulphur Surcharge</t>
  </si>
  <si>
    <t xml:space="preserve">THC</t>
  </si>
  <si>
    <t xml:space="preserve">Origin THC</t>
  </si>
  <si>
    <t xml:space="preserve">DOC</t>
  </si>
  <si>
    <t xml:space="preserve">Documentation Fee</t>
  </si>
  <si>
    <t xml:space="preserve">Q-0001-B</t>
  </si>
  <si>
    <t xml:space="preserve">Q-0002-A</t>
  </si>
  <si>
    <t xml:space="preserve">INS</t>
  </si>
  <si>
    <t xml:space="preserve">Marine Insurance</t>
  </si>
  <si>
    <t xml:space="preserve">Q-0002-B</t>
  </si>
  <si>
    <t xml:space="preserve">Q-0003-A</t>
  </si>
  <si>
    <t xml:space="preserve">Q-0003-B</t>
  </si>
  <si>
    <t xml:space="preserve">Q-0004-A</t>
  </si>
  <si>
    <r>
      <rPr>
        <sz val="11"/>
        <rFont val="Calibri"/>
        <family val="0"/>
        <charset val="1"/>
      </rPr>
      <t xml:space="preserve">20ft</t>
    </r>
    <r>
      <rPr>
        <sz val="11"/>
        <rFont val="Linux Libertine G"/>
        <family val="2"/>
      </rPr>
      <t xml:space="preserve">이므로 </t>
    </r>
    <r>
      <rPr>
        <sz val="11"/>
        <rFont val="Calibri"/>
        <family val="0"/>
        <charset val="1"/>
      </rPr>
      <t xml:space="preserve">KCCI </t>
    </r>
    <r>
      <rPr>
        <sz val="11"/>
        <rFont val="Linux Libertine G"/>
        <family val="2"/>
      </rPr>
      <t xml:space="preserve">비교 제외</t>
    </r>
  </si>
  <si>
    <t xml:space="preserve">Q-0005-A</t>
  </si>
  <si>
    <r>
      <rPr>
        <sz val="11"/>
        <rFont val="Calibri"/>
        <family val="0"/>
        <charset val="1"/>
      </rPr>
      <t xml:space="preserve">Reefer </t>
    </r>
    <r>
      <rPr>
        <sz val="11"/>
        <rFont val="Linux Libertine G"/>
        <family val="2"/>
      </rPr>
      <t xml:space="preserve">비교 제외</t>
    </r>
  </si>
  <si>
    <t xml:space="preserve">RFR</t>
  </si>
  <si>
    <t xml:space="preserve">Reefer Surcharge</t>
  </si>
  <si>
    <t xml:space="preserve">Q-0006-A</t>
  </si>
  <si>
    <t xml:space="preserve">LCL Ocean Freight</t>
  </si>
  <si>
    <r>
      <rPr>
        <sz val="11"/>
        <rFont val="Calibri"/>
        <family val="0"/>
        <charset val="1"/>
      </rPr>
      <t xml:space="preserve">LCL </t>
    </r>
    <r>
      <rPr>
        <sz val="11"/>
        <rFont val="Linux Libertine G"/>
        <family val="2"/>
      </rPr>
      <t xml:space="preserve">비교 제외</t>
    </r>
  </si>
  <si>
    <t xml:space="preserve">CFS</t>
  </si>
  <si>
    <t xml:space="preserve">Origin CFS Charge</t>
  </si>
  <si>
    <t xml:space="preserve">Q-0007-A</t>
  </si>
  <si>
    <t xml:space="preserve">TRK</t>
  </si>
  <si>
    <t xml:space="preserve">Origin Trucking</t>
  </si>
  <si>
    <t xml:space="preserve">Q-0008-A</t>
  </si>
  <si>
    <t xml:space="preserve">INL</t>
  </si>
  <si>
    <t xml:space="preserve">Destination Inland</t>
  </si>
  <si>
    <t xml:space="preserve">Q-0008-B</t>
  </si>
  <si>
    <t xml:space="preserve">quoted_at</t>
  </si>
  <si>
    <t xml:space="preserve">valid_until</t>
  </si>
  <si>
    <t xml:space="preserve">forwarder_name</t>
  </si>
  <si>
    <t xml:space="preserve">carrier_code</t>
  </si>
  <si>
    <t xml:space="preserve">carrier_name</t>
  </si>
  <si>
    <t xml:space="preserve">planned_etd</t>
  </si>
  <si>
    <t xml:space="preserve">planned_eta</t>
  </si>
  <si>
    <t xml:space="preserve">transit_days</t>
  </si>
  <si>
    <t xml:space="preserve">direct_yn</t>
  </si>
  <si>
    <t xml:space="preserve">transshipment_count</t>
  </si>
  <si>
    <t xml:space="preserve">header_total</t>
  </si>
  <si>
    <t xml:space="preserve">total_scope</t>
  </si>
  <si>
    <t xml:space="preserve">free_time_days</t>
  </si>
  <si>
    <t xml:space="preserve">charge_lines_total</t>
  </si>
  <si>
    <t xml:space="preserve">reconciliation_variance</t>
  </si>
  <si>
    <t xml:space="preserve">kcci_comparable_total</t>
  </si>
  <si>
    <t xml:space="preserve">kcci_snapshot_rate</t>
  </si>
  <si>
    <t xml:space="preserve">kcci_variance_pct</t>
  </si>
  <si>
    <t xml:space="preserve">budget_variance_pct</t>
  </si>
  <si>
    <t xml:space="preserve">comparability</t>
  </si>
  <si>
    <r>
      <rPr>
        <sz val="11"/>
        <rFont val="Linux Libertine G"/>
        <family val="2"/>
      </rPr>
      <t xml:space="preserve">해동로지스 </t>
    </r>
    <r>
      <rPr>
        <sz val="11"/>
        <rFont val="Calibri"/>
        <family val="0"/>
        <charset val="1"/>
      </rPr>
      <t xml:space="preserve">[</t>
    </r>
    <r>
      <rPr>
        <sz val="11"/>
        <rFont val="Linux Libertine G"/>
        <family val="2"/>
      </rPr>
      <t xml:space="preserve">가상</t>
    </r>
    <r>
      <rPr>
        <sz val="11"/>
        <rFont val="Calibri"/>
        <family val="0"/>
        <charset val="1"/>
      </rPr>
      <t xml:space="preserve">]</t>
    </r>
  </si>
  <si>
    <t xml:space="preserve">MCK1</t>
  </si>
  <si>
    <t xml:space="preserve">MOK CARRIER 1</t>
  </si>
  <si>
    <r>
      <rPr>
        <sz val="11"/>
        <rFont val="Calibri"/>
        <family val="0"/>
        <charset val="1"/>
      </rPr>
      <t xml:space="preserve">Space guarantee </t>
    </r>
    <r>
      <rPr>
        <sz val="11"/>
        <rFont val="Linux Libertine G"/>
        <family val="2"/>
      </rPr>
      <t xml:space="preserve">미확인</t>
    </r>
  </si>
  <si>
    <r>
      <rPr>
        <sz val="11"/>
        <rFont val="Linux Libertine G"/>
        <family val="2"/>
      </rPr>
      <t xml:space="preserve">부산글로벌포워딩 </t>
    </r>
    <r>
      <rPr>
        <sz val="11"/>
        <rFont val="Calibri"/>
        <family val="0"/>
        <charset val="1"/>
      </rPr>
      <t xml:space="preserve">[</t>
    </r>
    <r>
      <rPr>
        <sz val="11"/>
        <rFont val="Linux Libertine G"/>
        <family val="2"/>
      </rPr>
      <t xml:space="preserve">가상</t>
    </r>
    <r>
      <rPr>
        <sz val="11"/>
        <rFont val="Calibri"/>
        <family val="0"/>
        <charset val="1"/>
      </rPr>
      <t xml:space="preserve">]</t>
    </r>
  </si>
  <si>
    <t xml:space="preserve">MCK2</t>
  </si>
  <si>
    <t xml:space="preserve">MOK CARRIER 2</t>
  </si>
  <si>
    <t xml:space="preserve">유효기간이 하루 더 김</t>
  </si>
  <si>
    <t xml:space="preserve">MCK3</t>
  </si>
  <si>
    <t xml:space="preserve">MOK CARRIER 3</t>
  </si>
  <si>
    <t xml:space="preserve">보험료 포함</t>
  </si>
  <si>
    <r>
      <rPr>
        <sz val="11"/>
        <rFont val="Linux Libertine G"/>
        <family val="2"/>
      </rPr>
      <t xml:space="preserve">동남해운대리점 </t>
    </r>
    <r>
      <rPr>
        <sz val="11"/>
        <rFont val="Calibri"/>
        <family val="0"/>
        <charset val="1"/>
      </rPr>
      <t xml:space="preserve">[</t>
    </r>
    <r>
      <rPr>
        <sz val="11"/>
        <rFont val="Linux Libertine G"/>
        <family val="2"/>
      </rPr>
      <t xml:space="preserve">가상</t>
    </r>
    <r>
      <rPr>
        <sz val="11"/>
        <rFont val="Calibri"/>
        <family val="0"/>
        <charset val="1"/>
      </rPr>
      <t xml:space="preserve">]</t>
    </r>
  </si>
  <si>
    <t xml:space="preserve">MCK4</t>
  </si>
  <si>
    <t xml:space="preserve">MOK CARRIER 4</t>
  </si>
  <si>
    <t xml:space="preserve">납기 버퍼가 작음</t>
  </si>
  <si>
    <t xml:space="preserve">MCK5</t>
  </si>
  <si>
    <t xml:space="preserve">MOK CARRIER 5</t>
  </si>
  <si>
    <t xml:space="preserve">직항</t>
  </si>
  <si>
    <t xml:space="preserve">MCK6</t>
  </si>
  <si>
    <t xml:space="preserve">MOK CARRIER 6</t>
  </si>
  <si>
    <r>
      <rPr>
        <sz val="11"/>
        <rFont val="Linux Libertine G"/>
        <family val="2"/>
      </rPr>
      <t xml:space="preserve">후발 </t>
    </r>
    <r>
      <rPr>
        <sz val="11"/>
        <rFont val="Calibri"/>
        <family val="0"/>
        <charset val="1"/>
      </rPr>
      <t xml:space="preserve">ETD</t>
    </r>
  </si>
  <si>
    <t xml:space="preserve">MCK7</t>
  </si>
  <si>
    <t xml:space="preserve">MOK CARRIER 7</t>
  </si>
  <si>
    <r>
      <rPr>
        <sz val="11"/>
        <rFont val="Calibri"/>
        <family val="0"/>
        <charset val="1"/>
      </rPr>
      <t xml:space="preserve">20ft </t>
    </r>
    <r>
      <rPr>
        <sz val="11"/>
        <rFont val="Linux Libertine G"/>
        <family val="2"/>
      </rPr>
      <t xml:space="preserve">비교 제외</t>
    </r>
  </si>
  <si>
    <r>
      <rPr>
        <sz val="11"/>
        <rFont val="Linux Libertine G"/>
        <family val="2"/>
      </rPr>
      <t xml:space="preserve">콜드체인파트너 </t>
    </r>
    <r>
      <rPr>
        <sz val="11"/>
        <rFont val="Calibri"/>
        <family val="0"/>
        <charset val="1"/>
      </rPr>
      <t xml:space="preserve">[</t>
    </r>
    <r>
      <rPr>
        <sz val="11"/>
        <rFont val="Linux Libertine G"/>
        <family val="2"/>
      </rPr>
      <t xml:space="preserve">가상</t>
    </r>
    <r>
      <rPr>
        <sz val="11"/>
        <rFont val="Calibri"/>
        <family val="0"/>
        <charset val="1"/>
      </rPr>
      <t xml:space="preserve">]</t>
    </r>
  </si>
  <si>
    <t xml:space="preserve">MCK8</t>
  </si>
  <si>
    <t xml:space="preserve">MOK CARRIER 8</t>
  </si>
  <si>
    <r>
      <rPr>
        <sz val="11"/>
        <rFont val="Calibri"/>
        <family val="0"/>
        <charset val="1"/>
      </rPr>
      <t xml:space="preserve">Reefer·</t>
    </r>
    <r>
      <rPr>
        <sz val="11"/>
        <rFont val="Linux Libertine G"/>
        <family val="2"/>
      </rPr>
      <t xml:space="preserve">환적</t>
    </r>
  </si>
  <si>
    <r>
      <rPr>
        <sz val="11"/>
        <rFont val="Linux Libertine G"/>
        <family val="2"/>
      </rPr>
      <t xml:space="preserve">부산</t>
    </r>
    <r>
      <rPr>
        <sz val="11"/>
        <rFont val="Calibri"/>
        <family val="0"/>
        <charset val="1"/>
      </rPr>
      <t xml:space="preserve">LCL</t>
    </r>
    <r>
      <rPr>
        <sz val="11"/>
        <rFont val="Linux Libertine G"/>
        <family val="2"/>
      </rPr>
      <t xml:space="preserve">센터 </t>
    </r>
    <r>
      <rPr>
        <sz val="11"/>
        <rFont val="Calibri"/>
        <family val="0"/>
        <charset val="1"/>
      </rPr>
      <t xml:space="preserve">[</t>
    </r>
    <r>
      <rPr>
        <sz val="11"/>
        <rFont val="Linux Libertine G"/>
        <family val="2"/>
      </rPr>
      <t xml:space="preserve">가상</t>
    </r>
    <r>
      <rPr>
        <sz val="11"/>
        <rFont val="Calibri"/>
        <family val="0"/>
        <charset val="1"/>
      </rPr>
      <t xml:space="preserve">]</t>
    </r>
  </si>
  <si>
    <t xml:space="preserve">MCK9</t>
  </si>
  <si>
    <t xml:space="preserve">MOK CARRIER 9</t>
  </si>
  <si>
    <r>
      <rPr>
        <sz val="11"/>
        <rFont val="Calibri"/>
        <family val="0"/>
        <charset val="1"/>
      </rPr>
      <t xml:space="preserve">9.6 CBM </t>
    </r>
    <r>
      <rPr>
        <sz val="11"/>
        <rFont val="Linux Libertine G"/>
        <family val="2"/>
      </rPr>
      <t xml:space="preserve">기준</t>
    </r>
  </si>
  <si>
    <r>
      <rPr>
        <sz val="11"/>
        <rFont val="Calibri"/>
        <family val="0"/>
        <charset val="1"/>
      </rPr>
      <t xml:space="preserve">FOB·</t>
    </r>
    <r>
      <rPr>
        <sz val="11"/>
        <rFont val="Linux Libertine G"/>
        <family val="2"/>
      </rPr>
      <t xml:space="preserve">바이어 부킹</t>
    </r>
    <r>
      <rPr>
        <sz val="11"/>
        <rFont val="Calibri"/>
        <family val="0"/>
        <charset val="1"/>
      </rPr>
      <t xml:space="preserve">, </t>
    </r>
    <r>
      <rPr>
        <sz val="11"/>
        <rFont val="Linux Libertine G"/>
        <family val="2"/>
      </rPr>
      <t xml:space="preserve">출발지 비용만</t>
    </r>
  </si>
  <si>
    <r>
      <rPr>
        <sz val="11"/>
        <rFont val="Linux Libertine G"/>
        <family val="2"/>
      </rPr>
      <t xml:space="preserve">중동로지스 </t>
    </r>
    <r>
      <rPr>
        <sz val="11"/>
        <rFont val="Calibri"/>
        <family val="0"/>
        <charset val="1"/>
      </rPr>
      <t xml:space="preserve">[</t>
    </r>
    <r>
      <rPr>
        <sz val="11"/>
        <rFont val="Linux Libertine G"/>
        <family val="2"/>
      </rPr>
      <t xml:space="preserve">가상</t>
    </r>
    <r>
      <rPr>
        <sz val="11"/>
        <rFont val="Calibri"/>
        <family val="0"/>
        <charset val="1"/>
      </rPr>
      <t xml:space="preserve">]</t>
    </r>
  </si>
  <si>
    <r>
      <rPr>
        <sz val="11"/>
        <rFont val="Calibri"/>
        <family val="0"/>
        <charset val="1"/>
      </rPr>
      <t xml:space="preserve">Door </t>
    </r>
    <r>
      <rPr>
        <sz val="11"/>
        <rFont val="Linux Libertine G"/>
        <family val="2"/>
      </rPr>
      <t xml:space="preserve">견적</t>
    </r>
  </si>
  <si>
    <r>
      <rPr>
        <sz val="11"/>
        <rFont val="Linux Libertine G"/>
        <family val="2"/>
      </rPr>
      <t xml:space="preserve">걸프포워딩 </t>
    </r>
    <r>
      <rPr>
        <sz val="11"/>
        <rFont val="Calibri"/>
        <family val="0"/>
        <charset val="1"/>
      </rPr>
      <t xml:space="preserve">[</t>
    </r>
    <r>
      <rPr>
        <sz val="11"/>
        <rFont val="Linux Libertine G"/>
        <family val="2"/>
      </rPr>
      <t xml:space="preserve">가상</t>
    </r>
    <r>
      <rPr>
        <sz val="11"/>
        <rFont val="Calibri"/>
        <family val="0"/>
        <charset val="1"/>
      </rPr>
      <t xml:space="preserve">]</t>
    </r>
  </si>
  <si>
    <r>
      <rPr>
        <sz val="11"/>
        <rFont val="Linux Libertine G"/>
        <family val="2"/>
      </rPr>
      <t xml:space="preserve">환적 </t>
    </r>
    <r>
      <rPr>
        <sz val="11"/>
        <rFont val="Calibri"/>
        <family val="0"/>
        <charset val="1"/>
      </rPr>
      <t xml:space="preserve">1</t>
    </r>
    <r>
      <rPr>
        <sz val="11"/>
        <rFont val="Linux Libertine G"/>
        <family val="2"/>
      </rPr>
      <t xml:space="preserve">회</t>
    </r>
  </si>
  <si>
    <t xml:space="preserve">history_ref</t>
  </si>
  <si>
    <t xml:space="preserve">booked_at</t>
  </si>
  <si>
    <t xml:space="preserve">actual_departure</t>
  </si>
  <si>
    <t xml:space="preserve">actual_arrival</t>
  </si>
  <si>
    <t xml:space="preserve">approved_quote_total</t>
  </si>
  <si>
    <t xml:space="preserve">actual_total</t>
  </si>
  <si>
    <t xml:space="preserve">arrival_delay_days</t>
  </si>
  <si>
    <t xml:space="preserve">actual_cost_variance_pct</t>
  </si>
  <si>
    <t xml:space="preserve">booking_no</t>
  </si>
  <si>
    <t xml:space="preserve">bl_no</t>
  </si>
  <si>
    <t xml:space="preserve">container_no</t>
  </si>
  <si>
    <t xml:space="preserve">HIST-2025-001</t>
  </si>
  <si>
    <t xml:space="preserve">BKG-MOCK-250901</t>
  </si>
  <si>
    <t xml:space="preserve">MBL-MOCK-250901</t>
  </si>
  <si>
    <t xml:space="preserve">MCKU0000010</t>
  </si>
  <si>
    <t xml:space="preserve">가상 과거 실적</t>
  </si>
  <si>
    <t xml:space="preserve">HIST-2025-002</t>
  </si>
  <si>
    <t xml:space="preserve">BKG-MOCK-250902</t>
  </si>
  <si>
    <t xml:space="preserve">MBL-MOCK-250902</t>
  </si>
  <si>
    <t xml:space="preserve">MCKU0000026</t>
  </si>
  <si>
    <t xml:space="preserve">HIST-2025-003</t>
  </si>
  <si>
    <t xml:space="preserve">BKG-MOCK-250903</t>
  </si>
  <si>
    <t xml:space="preserve">MBL-MOCK-250903</t>
  </si>
  <si>
    <t xml:space="preserve">MCKU0000031</t>
  </si>
  <si>
    <t xml:space="preserve">HIST-2025-004</t>
  </si>
  <si>
    <t xml:space="preserve">BKG-MOCK-250904</t>
  </si>
  <si>
    <t xml:space="preserve">MBL-MOCK-250904</t>
  </si>
  <si>
    <t xml:space="preserve">MCKU0000047</t>
  </si>
  <si>
    <r>
      <rPr>
        <sz val="11"/>
        <rFont val="Calibri"/>
        <family val="0"/>
        <charset val="1"/>
      </rPr>
      <t xml:space="preserve">2</t>
    </r>
    <r>
      <rPr>
        <sz val="11"/>
        <rFont val="Linux Libertine G"/>
        <family val="2"/>
      </rPr>
      <t xml:space="preserve">일 출항 지연</t>
    </r>
  </si>
  <si>
    <t xml:space="preserve">HIST-2026-001</t>
  </si>
  <si>
    <t xml:space="preserve">BKG-MOCK-260901</t>
  </si>
  <si>
    <t xml:space="preserve">MBL-MOCK-260901</t>
  </si>
  <si>
    <t xml:space="preserve">MCKU0000052</t>
  </si>
  <si>
    <t xml:space="preserve">HIST-2026-002</t>
  </si>
  <si>
    <t xml:space="preserve">BKG-MOCK-260902</t>
  </si>
  <si>
    <t xml:space="preserve">MBL-MOCK-260902</t>
  </si>
  <si>
    <t xml:space="preserve">MCKU0000068</t>
  </si>
  <si>
    <t xml:space="preserve">HIST-2026-003</t>
  </si>
  <si>
    <t xml:space="preserve">BKG-MOCK-260903</t>
  </si>
  <si>
    <t xml:space="preserve">MBL-MOCK-260903</t>
  </si>
  <si>
    <t xml:space="preserve">MCKU0000073</t>
  </si>
  <si>
    <r>
      <rPr>
        <sz val="11"/>
        <rFont val="Linux Libertine G"/>
        <family val="2"/>
      </rPr>
      <t xml:space="preserve">실제 지연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비용 초과 예시</t>
    </r>
  </si>
  <si>
    <t xml:space="preserve">HIST-2026-004</t>
  </si>
  <si>
    <t xml:space="preserve">BKG-MOCK-260904</t>
  </si>
  <si>
    <t xml:space="preserve">MBL-MOCK-260904</t>
  </si>
  <si>
    <t xml:space="preserve">MCKU0000089</t>
  </si>
  <si>
    <t xml:space="preserve">observation_id</t>
  </si>
  <si>
    <t xml:space="preserve">observed_date</t>
  </si>
  <si>
    <t xml:space="preserve">published_at</t>
  </si>
  <si>
    <t xml:space="preserve">route_code</t>
  </si>
  <si>
    <t xml:space="preserve">route_name</t>
  </si>
  <si>
    <t xml:space="preserve">value</t>
  </si>
  <si>
    <t xml:space="preserve">unit</t>
  </si>
  <si>
    <t xml:space="preserve">source_url</t>
  </si>
  <si>
    <t xml:space="preserve">coverage_note</t>
  </si>
  <si>
    <t xml:space="preserve">KCCI-20260706</t>
  </si>
  <si>
    <t xml:space="preserve">MARKET_OBSERVED</t>
  </si>
  <si>
    <t xml:space="preserve">KCCI</t>
  </si>
  <si>
    <t xml:space="preserve">Composite Index</t>
  </si>
  <si>
    <t xml:space="preserve">PT</t>
  </si>
  <si>
    <t xml:space="preserve">종합지수는 포인트이며 개별 견적 달러값이 아님</t>
  </si>
  <si>
    <t xml:space="preserve">KUWI-20260706</t>
  </si>
  <si>
    <t xml:space="preserve">USD/FEU</t>
  </si>
  <si>
    <r>
      <rPr>
        <sz val="11"/>
        <rFont val="Linux Libertine G"/>
        <family val="2"/>
      </rPr>
      <t xml:space="preserve">부산발 </t>
    </r>
    <r>
      <rPr>
        <sz val="11"/>
        <rFont val="Calibri"/>
        <family val="0"/>
        <charset val="1"/>
      </rPr>
      <t xml:space="preserve">40ft Dry Spot</t>
    </r>
  </si>
  <si>
    <t xml:space="preserve">KUEI-20260706</t>
  </si>
  <si>
    <t xml:space="preserve">KNEI-20260706</t>
  </si>
  <si>
    <t xml:space="preserve">KMDI-20260706</t>
  </si>
  <si>
    <t xml:space="preserve">KMEI-20260706</t>
  </si>
  <si>
    <t xml:space="preserve">KAUI-20260706</t>
  </si>
  <si>
    <t xml:space="preserve">KLEI-20260706</t>
  </si>
  <si>
    <t xml:space="preserve">KLEI</t>
  </si>
  <si>
    <t xml:space="preserve">Latin America East</t>
  </si>
  <si>
    <t xml:space="preserve">KLWI-20260706</t>
  </si>
  <si>
    <t xml:space="preserve">KLWI</t>
  </si>
  <si>
    <t xml:space="preserve">Latin America West</t>
  </si>
  <si>
    <t xml:space="preserve">KSAI-20260706</t>
  </si>
  <si>
    <t xml:space="preserve">KSAI</t>
  </si>
  <si>
    <t xml:space="preserve">South Africa</t>
  </si>
  <si>
    <t xml:space="preserve">KWAI-20260706</t>
  </si>
  <si>
    <t xml:space="preserve">KWAI</t>
  </si>
  <si>
    <t xml:space="preserve">West Africa</t>
  </si>
  <si>
    <t xml:space="preserve">KCI-20260706</t>
  </si>
  <si>
    <t xml:space="preserve">공식 페이지 단위 표기 기준</t>
  </si>
  <si>
    <t xml:space="preserve">KJI-20260706</t>
  </si>
  <si>
    <t xml:space="preserve">KSEI-20260706</t>
  </si>
  <si>
    <r>
      <rPr>
        <b val="true"/>
        <sz val="11"/>
        <color rgb="FFFFFFFF"/>
        <rFont val="Calibri"/>
        <family val="0"/>
        <charset val="1"/>
      </rPr>
      <t xml:space="preserve">PortPulse </t>
    </r>
    <r>
      <rPr>
        <b val="true"/>
        <sz val="11"/>
        <color rgb="FFFFFFFF"/>
        <rFont val="Linux Libertine G"/>
        <family val="2"/>
      </rPr>
      <t xml:space="preserve">입력 데이터 검증요약</t>
    </r>
  </si>
  <si>
    <t xml:space="preserve">검증항목</t>
  </si>
  <si>
    <t xml:space="preserve">값</t>
  </si>
  <si>
    <t xml:space="preserve">Rule ID</t>
  </si>
  <si>
    <t xml:space="preserve">검증 규칙</t>
  </si>
  <si>
    <t xml:space="preserve">오류 수준</t>
  </si>
  <si>
    <t xml:space="preserve">선적계획 건수</t>
  </si>
  <si>
    <t xml:space="preserve">SHP-01</t>
  </si>
  <si>
    <r>
      <rPr>
        <sz val="11"/>
        <rFont val="Linux Libertine G"/>
        <family val="2"/>
      </rPr>
      <t xml:space="preserve">선적 필수값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부킹 통제자</t>
    </r>
    <r>
      <rPr>
        <sz val="11"/>
        <rFont val="Calibri"/>
        <family val="0"/>
        <charset val="1"/>
      </rPr>
      <t xml:space="preserve">·Incoterms named place </t>
    </r>
    <r>
      <rPr>
        <sz val="11"/>
        <rFont val="Linux Libertine G"/>
        <family val="2"/>
      </rPr>
      <t xml:space="preserve">확인</t>
    </r>
  </si>
  <si>
    <t xml:space="preserve">BLOCKING</t>
  </si>
  <si>
    <r>
      <rPr>
        <sz val="11"/>
        <rFont val="Linux Libertine G"/>
        <family val="2"/>
      </rPr>
      <t xml:space="preserve">선적 </t>
    </r>
    <r>
      <rPr>
        <sz val="11"/>
        <rFont val="Calibri"/>
        <family val="0"/>
        <charset val="1"/>
      </rPr>
      <t xml:space="preserve">BLOCKING</t>
    </r>
  </si>
  <si>
    <t xml:space="preserve">SHP-02</t>
  </si>
  <si>
    <r>
      <rPr>
        <sz val="11"/>
        <rFont val="Calibri"/>
        <family val="0"/>
        <charset val="1"/>
      </rPr>
      <t xml:space="preserve">FCL</t>
    </r>
    <r>
      <rPr>
        <sz val="11"/>
        <rFont val="Linux Libertine G"/>
        <family val="2"/>
      </rPr>
      <t xml:space="preserve">은 장비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컨테이너 수</t>
    </r>
    <r>
      <rPr>
        <sz val="11"/>
        <rFont val="Calibri"/>
        <family val="0"/>
        <charset val="1"/>
      </rPr>
      <t xml:space="preserve">, LCL</t>
    </r>
    <r>
      <rPr>
        <sz val="11"/>
        <rFont val="Linux Libertine G"/>
        <family val="2"/>
      </rPr>
      <t xml:space="preserve">은 포장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중량</t>
    </r>
    <r>
      <rPr>
        <sz val="11"/>
        <rFont val="Calibri"/>
        <family val="0"/>
        <charset val="1"/>
      </rPr>
      <t xml:space="preserve">·CBM </t>
    </r>
    <r>
      <rPr>
        <sz val="11"/>
        <rFont val="Linux Libertine G"/>
        <family val="2"/>
      </rPr>
      <t xml:space="preserve">필요</t>
    </r>
  </si>
  <si>
    <r>
      <rPr>
        <sz val="11"/>
        <rFont val="Linux Libertine G"/>
        <family val="2"/>
      </rPr>
      <t xml:space="preserve">선적 </t>
    </r>
    <r>
      <rPr>
        <sz val="11"/>
        <rFont val="Calibri"/>
        <family val="0"/>
        <charset val="1"/>
      </rPr>
      <t xml:space="preserve">WARNING</t>
    </r>
  </si>
  <si>
    <t xml:space="preserve">SHP-03</t>
  </si>
  <si>
    <r>
      <rPr>
        <sz val="11"/>
        <rFont val="Calibri"/>
        <family val="0"/>
        <charset val="1"/>
      </rPr>
      <t xml:space="preserve">Cargo Ready</t>
    </r>
    <r>
      <rPr>
        <sz val="11"/>
        <rFont val="Linux Libertine G"/>
        <family val="2"/>
      </rPr>
      <t xml:space="preserve">가 </t>
    </r>
    <r>
      <rPr>
        <sz val="11"/>
        <rFont val="Calibri"/>
        <family val="0"/>
        <charset val="1"/>
      </rPr>
      <t xml:space="preserve">ETD Window End</t>
    </r>
    <r>
      <rPr>
        <sz val="11"/>
        <rFont val="Linux Libertine G"/>
        <family val="2"/>
      </rPr>
      <t xml:space="preserve">보다 늦지 않아야 함</t>
    </r>
  </si>
  <si>
    <r>
      <rPr>
        <sz val="11"/>
        <rFont val="Calibri"/>
        <family val="0"/>
        <charset val="1"/>
      </rPr>
      <t xml:space="preserve">KCCI DIRECT </t>
    </r>
    <r>
      <rPr>
        <sz val="11"/>
        <rFont val="Linux Libertine G"/>
        <family val="2"/>
      </rPr>
      <t xml:space="preserve">건수</t>
    </r>
  </si>
  <si>
    <t xml:space="preserve">CMP-01</t>
  </si>
  <si>
    <r>
      <rPr>
        <sz val="11"/>
        <rFont val="Linux Libertine G"/>
        <family val="2"/>
      </rPr>
      <t xml:space="preserve">부산발 </t>
    </r>
    <r>
      <rPr>
        <sz val="11"/>
        <rFont val="Calibri"/>
        <family val="0"/>
        <charset val="1"/>
      </rPr>
      <t xml:space="preserve">40ft Dry FCL + SELLER </t>
    </r>
    <r>
      <rPr>
        <sz val="11"/>
        <rFont val="Linux Libertine G"/>
        <family val="2"/>
      </rPr>
      <t xml:space="preserve">부킹 </t>
    </r>
    <r>
      <rPr>
        <sz val="11"/>
        <rFont val="Calibri"/>
        <family val="0"/>
        <charset val="1"/>
      </rPr>
      <t xml:space="preserve">+ Route Mapping</t>
    </r>
  </si>
  <si>
    <r>
      <rPr>
        <sz val="11"/>
        <rFont val="Calibri"/>
        <family val="0"/>
        <charset val="1"/>
      </rPr>
      <t xml:space="preserve">DIRECT </t>
    </r>
    <r>
      <rPr>
        <sz val="11"/>
        <rFont val="Linux Libertine G"/>
        <family val="2"/>
      </rPr>
      <t xml:space="preserve">아니면 </t>
    </r>
    <r>
      <rPr>
        <sz val="11"/>
        <rFont val="Calibri"/>
        <family val="0"/>
        <charset val="1"/>
      </rPr>
      <t xml:space="preserve">WARNING</t>
    </r>
  </si>
  <si>
    <t xml:space="preserve">견적 건수</t>
  </si>
  <si>
    <t xml:space="preserve">QTE-01</t>
  </si>
  <si>
    <r>
      <rPr>
        <sz val="11"/>
        <rFont val="Linux Libertine G"/>
        <family val="2"/>
      </rPr>
      <t xml:space="preserve">견적 </t>
    </r>
    <r>
      <rPr>
        <sz val="11"/>
        <rFont val="Calibri"/>
        <family val="0"/>
        <charset val="1"/>
      </rPr>
      <t xml:space="preserve">Header Total = Charge Line Total</t>
    </r>
  </si>
  <si>
    <r>
      <rPr>
        <sz val="11"/>
        <rFont val="Linux Libertine G"/>
        <family val="2"/>
      </rPr>
      <t xml:space="preserve">견적 </t>
    </r>
    <r>
      <rPr>
        <sz val="11"/>
        <rFont val="Calibri"/>
        <family val="0"/>
        <charset val="1"/>
      </rPr>
      <t xml:space="preserve">BLOCKING</t>
    </r>
  </si>
  <si>
    <t xml:space="preserve">QTE-02</t>
  </si>
  <si>
    <t xml:space="preserve">견적 유효기간 만료</t>
  </si>
  <si>
    <t xml:space="preserve">WARNING</t>
  </si>
  <si>
    <r>
      <rPr>
        <sz val="11"/>
        <rFont val="Linux Libertine G"/>
        <family val="2"/>
      </rPr>
      <t xml:space="preserve">견적 </t>
    </r>
    <r>
      <rPr>
        <sz val="11"/>
        <rFont val="Calibri"/>
        <family val="0"/>
        <charset val="1"/>
      </rPr>
      <t xml:space="preserve">WARNING</t>
    </r>
  </si>
  <si>
    <t xml:space="preserve">CST-01</t>
  </si>
  <si>
    <r>
      <rPr>
        <sz val="11"/>
        <rFont val="Linux Libertine G"/>
        <family val="2"/>
      </rPr>
      <t xml:space="preserve">금액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수량 음수 또는 </t>
    </r>
    <r>
      <rPr>
        <sz val="11"/>
        <rFont val="Calibri"/>
        <family val="0"/>
        <charset val="1"/>
      </rPr>
      <t xml:space="preserve">0</t>
    </r>
  </si>
  <si>
    <r>
      <rPr>
        <sz val="11"/>
        <rFont val="Linux Libertine G"/>
        <family val="2"/>
      </rPr>
      <t xml:space="preserve">비용라인 </t>
    </r>
    <r>
      <rPr>
        <sz val="11"/>
        <rFont val="Calibri"/>
        <family val="0"/>
        <charset val="1"/>
      </rPr>
      <t xml:space="preserve">BLOCKING</t>
    </r>
  </si>
  <si>
    <t xml:space="preserve">SRC-01</t>
  </si>
  <si>
    <r>
      <rPr>
        <sz val="11"/>
        <rFont val="Linux Libertine G"/>
        <family val="2"/>
      </rPr>
      <t xml:space="preserve">시장 관측과 합성 데이터를 </t>
    </r>
    <r>
      <rPr>
        <sz val="11"/>
        <rFont val="Calibri"/>
        <family val="0"/>
        <charset val="1"/>
      </rPr>
      <t xml:space="preserve">provenance</t>
    </r>
    <r>
      <rPr>
        <sz val="11"/>
        <rFont val="Linux Libertine G"/>
        <family val="2"/>
      </rPr>
      <t xml:space="preserve">로 구분</t>
    </r>
  </si>
  <si>
    <t xml:space="preserve">INFO</t>
  </si>
  <si>
    <t xml:space="preserve">현재 판단</t>
  </si>
  <si>
    <t xml:space="preserve">수식 결과</t>
  </si>
  <si>
    <t xml:space="preserve">의미</t>
  </si>
  <si>
    <t xml:space="preserve">다음 조치</t>
  </si>
  <si>
    <t xml:space="preserve">데이터 기준</t>
  </si>
  <si>
    <t xml:space="preserve">업로드 가능 여부</t>
  </si>
  <si>
    <r>
      <rPr>
        <sz val="11"/>
        <rFont val="Calibri"/>
        <family val="0"/>
        <charset val="1"/>
      </rPr>
      <t xml:space="preserve">BLOCKING</t>
    </r>
    <r>
      <rPr>
        <sz val="11"/>
        <rFont val="Linux Libertine G"/>
        <family val="2"/>
      </rPr>
      <t xml:space="preserve">이 </t>
    </r>
    <r>
      <rPr>
        <sz val="11"/>
        <rFont val="Calibri"/>
        <family val="0"/>
        <charset val="1"/>
      </rPr>
      <t xml:space="preserve">0</t>
    </r>
    <r>
      <rPr>
        <sz val="11"/>
        <rFont val="Linux Libertine G"/>
        <family val="2"/>
      </rPr>
      <t xml:space="preserve">이면 구조상 업로드 가능</t>
    </r>
  </si>
  <si>
    <r>
      <rPr>
        <sz val="11"/>
        <rFont val="Calibri"/>
        <family val="0"/>
        <charset val="1"/>
      </rPr>
      <t xml:space="preserve">WARNING</t>
    </r>
    <r>
      <rPr>
        <sz val="11"/>
        <rFont val="Linux Libertine G"/>
        <family val="2"/>
      </rPr>
      <t xml:space="preserve">은 비교범위 제한을 확인</t>
    </r>
  </si>
  <si>
    <t xml:space="preserve">2026-07-12</t>
  </si>
  <si>
    <t xml:space="preserve">실거래 사용 금지</t>
  </si>
  <si>
    <t xml:space="preserve">KCCI Snapshot</t>
  </si>
  <si>
    <r>
      <rPr>
        <sz val="11"/>
        <rFont val="Calibri"/>
        <family val="0"/>
        <charset val="1"/>
      </rPr>
      <t xml:space="preserve">2026-07-06 </t>
    </r>
    <r>
      <rPr>
        <sz val="11"/>
        <rFont val="Linux Libertine G"/>
        <family val="2"/>
      </rPr>
      <t xml:space="preserve">종합지수</t>
    </r>
  </si>
  <si>
    <r>
      <rPr>
        <sz val="11"/>
        <rFont val="Linux Libertine G"/>
        <family val="2"/>
      </rPr>
      <t xml:space="preserve">항로별 </t>
    </r>
    <r>
      <rPr>
        <sz val="11"/>
        <rFont val="Calibri"/>
        <family val="0"/>
        <charset val="1"/>
      </rPr>
      <t xml:space="preserve">Rate</t>
    </r>
    <r>
      <rPr>
        <sz val="11"/>
        <rFont val="Linux Libertine G"/>
        <family val="2"/>
      </rPr>
      <t xml:space="preserve">를 사용</t>
    </r>
  </si>
  <si>
    <t xml:space="preserve">KOBC</t>
  </si>
  <si>
    <t xml:space="preserve">종합지수는 달러 운임이 아님</t>
  </si>
  <si>
    <t xml:space="preserve">목업 상태</t>
  </si>
  <si>
    <r>
      <rPr>
        <sz val="11"/>
        <rFont val="Linux Libertine G"/>
        <family val="2"/>
      </rPr>
      <t xml:space="preserve">회사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견적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이력 모두 합성</t>
    </r>
  </si>
  <si>
    <t xml:space="preserve">실제 데이터와 혼합 금지</t>
  </si>
  <si>
    <r>
      <rPr>
        <sz val="11"/>
        <rFont val="Linux Libertine G"/>
        <family val="2"/>
      </rPr>
      <t xml:space="preserve">고정 </t>
    </r>
    <r>
      <rPr>
        <sz val="11"/>
        <rFont val="Calibri"/>
        <family val="0"/>
        <charset val="1"/>
      </rPr>
      <t xml:space="preserve">Seed</t>
    </r>
  </si>
  <si>
    <t xml:space="preserve">모델 정확도 주장 금지</t>
  </si>
  <si>
    <t xml:space="preserve">시장 상태</t>
  </si>
  <si>
    <t xml:space="preserve">시장스냅샷만 실제 관측</t>
  </si>
  <si>
    <r>
      <rPr>
        <sz val="11"/>
        <rFont val="Calibri"/>
        <family val="0"/>
        <charset val="1"/>
      </rPr>
      <t xml:space="preserve">source_url·observed_date </t>
    </r>
    <r>
      <rPr>
        <sz val="11"/>
        <rFont val="Linux Libertine G"/>
        <family val="2"/>
      </rPr>
      <t xml:space="preserve">유지</t>
    </r>
  </si>
  <si>
    <t xml:space="preserve">2026-07-06</t>
  </si>
  <si>
    <r>
      <rPr>
        <sz val="11"/>
        <rFont val="Linux Libertine G"/>
        <family val="2"/>
      </rPr>
      <t xml:space="preserve">사용</t>
    </r>
    <r>
      <rPr>
        <sz val="11"/>
        <rFont val="Calibri"/>
        <family val="0"/>
        <charset val="1"/>
      </rPr>
      <t xml:space="preserve">·</t>
    </r>
    <r>
      <rPr>
        <sz val="11"/>
        <rFont val="Linux Libertine G"/>
        <family val="2"/>
      </rPr>
      <t xml:space="preserve">재배포 조건 확인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</si>
</sst>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yyyy\-mm\-dd"/>
    <numFmt numFmtId="167" formatCode="#,##0.00"/>
    <numFmt numFmtId="168" formatCode="#,##0"/>
  </numFmts>
  <fonts count="9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Linux Libertine G"/>
      <family val="2"/>
    </font>
    <font>
      <sz val="11"/>
      <name val="Linux Libertine G"/>
      <family val="2"/>
    </font>
    <font>
      <b val="true"/>
      <sz val="11"/>
      <color rgb="FF17365D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AF2F8"/>
        <bgColor rgb="FFE2F0D9"/>
      </patternFill>
    </fill>
    <fill>
      <patternFill patternType="solid">
        <fgColor rgb="FFE2F0D9"/>
        <bgColor rgb="FFEAF2F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/>
      <top style="thin">
        <color rgb="FFB4C6E7"/>
      </top>
      <bottom style="thin">
        <color rgb="FFB4C6E7"/>
      </bottom>
      <diagonal/>
    </border>
    <border diagonalUp="false" diagonalDown="false">
      <left/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3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3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3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3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3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D8DF81"/>
          <bgColor rgb="FF000000"/>
        </patternFill>
      </fill>
    </dxf>
    <dxf>
      <fill>
        <patternFill patternType="solid">
          <fgColor rgb="FFE0E282"/>
          <bgColor rgb="FF000000"/>
        </patternFill>
      </fill>
    </dxf>
    <dxf>
      <fill>
        <patternFill patternType="solid">
          <fgColor rgb="FFE2E282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A8471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DBA7B"/>
          <bgColor rgb="FF000000"/>
        </patternFill>
      </fill>
    </dxf>
    <dxf>
      <fill>
        <patternFill patternType="solid">
          <fgColor rgb="FFA6D17E"/>
          <bgColor rgb="FF000000"/>
        </patternFill>
      </fill>
    </dxf>
    <dxf>
      <fill>
        <patternFill patternType="solid">
          <fgColor rgb="FFD0DD81"/>
          <bgColor rgb="FF000000"/>
        </patternFill>
      </fill>
    </dxf>
    <dxf>
      <fill>
        <patternFill patternType="solid">
          <fgColor rgb="FFE7E482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6B6C"/>
          <bgColor rgb="FF000000"/>
        </patternFill>
      </fill>
    </dxf>
    <dxf>
      <fill>
        <patternFill patternType="solid">
          <fgColor rgb="FFF97A6F"/>
          <bgColor rgb="FF000000"/>
        </patternFill>
      </fill>
    </dxf>
    <dxf>
      <fill>
        <patternFill patternType="solid">
          <fgColor rgb="FFFA8C72"/>
          <bgColor rgb="FF000000"/>
        </patternFill>
      </fill>
    </dxf>
    <dxf>
      <fill>
        <patternFill patternType="solid">
          <fgColor rgb="FFFCEA83"/>
          <bgColor rgb="FF000000"/>
        </patternFill>
      </fill>
    </dxf>
    <dxf>
      <fill>
        <patternFill patternType="solid">
          <fgColor rgb="FFFDBC7B"/>
          <bgColor rgb="FF000000"/>
        </patternFill>
      </fill>
    </dxf>
    <dxf>
      <fill>
        <patternFill patternType="solid">
          <fgColor rgb="FFFFE182"/>
          <bgColor rgb="FF000000"/>
        </patternFill>
      </fill>
    </dxf>
    <dxf>
      <fill>
        <patternFill patternType="solid">
          <fgColor rgb="FFFFE884"/>
          <bgColor rgb="FF000000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  <dxf>
      <font>
        <color rgb="FF000000"/>
      </font>
      <border diagonalUp="false" diagonalDown="false">
        <left style="thin">
          <color theme="6" tint="0.4"/>
        </left>
        <right style="thin">
          <color theme="6" tint="0.4"/>
        </right>
        <top style="thin">
          <color theme="6" tint="0.4"/>
        </top>
        <bottom style="thin">
          <color theme="6" tint="0.4"/>
        </bottom>
        <diagonal/>
      </border>
    </dxf>
    <dxf>
      <fill>
        <patternFill>
          <bgColor theme="6" tint="0.8"/>
        </patternFill>
      </fill>
    </dxf>
    <dxf>
      <fill>
        <patternFill>
          <bgColor theme="6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6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6"/>
        </top>
        <bottom/>
        <diagonal/>
      </border>
    </dxf>
  </dxfs>
  <tableStyles count="2">
    <tableStyle count="7" name="TableStyleMedium2">
      <tableStyleElement dxfId="39" type="wholeTable"/>
      <tableStyleElement dxfId="40" type="firstColumnStripe"/>
      <tableStyleElement dxfId="41" type="firstRowStripe"/>
      <tableStyleElement dxfId="42" type="lastColumn"/>
      <tableStyleElement dxfId="43" type="firstColumn"/>
      <tableStyleElement dxfId="44" type="headerRow"/>
      <tableStyleElement dxfId="45" type="totalRow"/>
    </tableStyle>
    <tableStyle count="7" name="TableStyleMedium4">
      <tableStyleElement dxfId="46" type="wholeTable"/>
      <tableStyleElement dxfId="47" type="firstColumnStripe"/>
      <tableStyleElement dxfId="48" type="firstRowStripe"/>
      <tableStyleElement dxfId="49" type="lastColumn"/>
      <tableStyleElement dxfId="50" type="firstColumn"/>
      <tableStyleElement dxfId="51" type="headerRow"/>
      <tableStyleElement dxfId="52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56082"/>
      <rgbColor rgb="FFB4C6E7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17365D"/>
      <rgbColor rgb="FF47D45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anyProfileTable" displayName="CompanyProfileTable" ref="A1:N2" headerRowCount="1" totalsRowCount="0" totalsRowShown="0">
  <autoFilter ref="A1:N2"/>
  <tableColumns count="14">
    <tableColumn id="1" name="profile_ref"/>
    <tableColumn id="2" name="data_provenance"/>
    <tableColumn id="3" name="company_name"/>
    <tableColumn id="4" name="default_currency"/>
    <tableColumn id="5" name="default_pol_unlocode"/>
    <tableColumn id="6" name="main_carriage_payer"/>
    <tableColumn id="7" name="booking_controller"/>
    <tableColumn id="8" name="risk_tolerance"/>
    <tableColumn id="9" name="budget_warning_pct"/>
    <tableColumn id="10" name="min_delivery_buffer_days"/>
    <tableColumn id="11" name="timezone"/>
    <tableColumn id="12" name="notification_channel"/>
    <tableColumn id="13" name="quiet_hours"/>
    <tableColumn id="1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storicalShipmentTable" displayName="HistoricalShipmentTable" ref="A1:X9" headerRowCount="1" totalsRowCount="0" totalsRowShown="0">
  <autoFilter ref="A1:X9"/>
  <tableColumns count="24">
    <tableColumn id="1" name="history_ref"/>
    <tableColumn id="2" name="data_provenance"/>
    <tableColumn id="3" name="pol_unlocode"/>
    <tableColumn id="4" name="pod_unlocode"/>
    <tableColumn id="5" name="equipment_size_type"/>
    <tableColumn id="6" name="container_count"/>
    <tableColumn id="7" name="cargo_profile"/>
    <tableColumn id="8" name="incoterm_code"/>
    <tableColumn id="9" name="booked_at"/>
    <tableColumn id="10" name="planned_etd"/>
    <tableColumn id="11" name="actual_departure"/>
    <tableColumn id="12" name="planned_eta"/>
    <tableColumn id="13" name="actual_arrival"/>
    <tableColumn id="14" name="approved_quote_total"/>
    <tableColumn id="15" name="actual_total"/>
    <tableColumn id="16" name="currency"/>
    <tableColumn id="17" name="cost_scope"/>
    <tableColumn id="18" name="arrival_delay_days"/>
    <tableColumn id="19" name="actual_cost_variance_pct"/>
    <tableColumn id="20" name="booking_no"/>
    <tableColumn id="21" name="bl_no"/>
    <tableColumn id="22" name="container_no"/>
    <tableColumn id="23" name="hs6"/>
    <tableColumn id="2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rketSnapshotTable" displayName="MarketSnapshotTable" ref="A1:J15" headerRowCount="1" totalsRowCount="0" totalsRowShown="0">
  <autoFilter ref="A1:J15"/>
  <tableColumns count="10">
    <tableColumn id="1" name="observation_id"/>
    <tableColumn id="2" name="data_provenance"/>
    <tableColumn id="3" name="observed_date"/>
    <tableColumn id="4" name="published_at"/>
    <tableColumn id="5" name="route_code"/>
    <tableColumn id="6" name="route_name"/>
    <tableColumn id="7" name="value"/>
    <tableColumn id="8" name="unit"/>
    <tableColumn id="9" name="source_url"/>
    <tableColumn id="10" name="coverage_not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QuoteChargeTable" displayName="QuoteChargeTable" ref="A1:O62" headerRowCount="1" totalsRowCount="0" totalsRowShown="0">
  <autoFilter ref="A1:O62"/>
  <tableColumns count="15">
    <tableColumn id="1" name="quote_ref"/>
    <tableColumn id="2" name="line_no"/>
    <tableColumn id="3" name="data_provenance"/>
    <tableColumn id="4" name="charge_code"/>
    <tableColumn id="5" name="charge_name"/>
    <tableColumn id="6" name="category"/>
    <tableColumn id="7" name="amount"/>
    <tableColumn id="8" name="currency"/>
    <tableColumn id="9" name="basis"/>
    <tableColumn id="10" name="quantity"/>
    <tableColumn id="11" name="prepaid_collect"/>
    <tableColumn id="12" name="kcci_comparable_yn"/>
    <tableColumn id="13" name="line_total"/>
    <tableColumn id="14" name="notes"/>
    <tableColumn id="15" name="validation_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oteHeaderTable" displayName="QuoteHeaderTable" ref="A1:AG13" headerRowCount="1" totalsRowCount="0" totalsRowShown="0">
  <autoFilter ref="A1:AG13"/>
  <tableColumns count="33">
    <tableColumn id="1" name="quote_ref"/>
    <tableColumn id="2" name="shipment_ref"/>
    <tableColumn id="3" name="data_provenance"/>
    <tableColumn id="4" name="quoted_at"/>
    <tableColumn id="5" name="valid_until"/>
    <tableColumn id="6" name="forwarder_name"/>
    <tableColumn id="7" name="carrier_code"/>
    <tableColumn id="8" name="carrier_name"/>
    <tableColumn id="9" name="pol_unlocode"/>
    <tableColumn id="10" name="pod_unlocode"/>
    <tableColumn id="11" name="load_type"/>
    <tableColumn id="12" name="equipment_size_type"/>
    <tableColumn id="13" name="container_count"/>
    <tableColumn id="14" name="planned_etd"/>
    <tableColumn id="15" name="planned_eta"/>
    <tableColumn id="16" name="transit_days"/>
    <tableColumn id="17" name="direct_yn"/>
    <tableColumn id="18" name="transshipment_count"/>
    <tableColumn id="19" name="header_total"/>
    <tableColumn id="20" name="currency"/>
    <tableColumn id="21" name="total_scope"/>
    <tableColumn id="22" name="free_time_days"/>
    <tableColumn id="23" name="charge_lines_total"/>
    <tableColumn id="24" name="reconciliation_variance"/>
    <tableColumn id="25" name="kcci_comparable_total"/>
    <tableColumn id="26" name="kcci_route_code"/>
    <tableColumn id="27" name="kcci_snapshot_rate"/>
    <tableColumn id="28" name="kcci_variance_pct"/>
    <tableColumn id="29" name="budget_variance_pct"/>
    <tableColumn id="30" name="comparability"/>
    <tableColumn id="31" name="validation_result"/>
    <tableColumn id="32" name="validation_message"/>
    <tableColumn id="3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hipmentPlanTable" displayName="ShipmentPlanTable" ref="A1:AG9" headerRowCount="1" totalsRowCount="0" totalsRowShown="0">
  <autoFilter ref="A1:AG9"/>
  <tableColumns count="33">
    <tableColumn id="1" name="shipment_ref"/>
    <tableColumn id="2" name="data_provenance"/>
    <tableColumn id="3" name="cargo_ready_date"/>
    <tableColumn id="4" name="etd_window_start"/>
    <tableColumn id="5" name="etd_window_end"/>
    <tableColumn id="6" name="required_delivery_date"/>
    <tableColumn id="7" name="pol_unlocode"/>
    <tableColumn id="8" name="pod_unlocode"/>
    <tableColumn id="9" name="load_type"/>
    <tableColumn id="10" name="equipment_size_type"/>
    <tableColumn id="11" name="container_count"/>
    <tableColumn id="12" name="package_count"/>
    <tableColumn id="13" name="gross_weight_kg"/>
    <tableColumn id="14" name="volume_cbm"/>
    <tableColumn id="15" name="cargo_profile"/>
    <tableColumn id="16" name="hs6"/>
    <tableColumn id="17" name="trade_description"/>
    <tableColumn id="18" name="incoterm_code"/>
    <tableColumn id="19" name="incoterm_named_place"/>
    <tableColumn id="20" name="incoterm_version"/>
    <tableColumn id="21" name="main_carriage_payer"/>
    <tableColumn id="22" name="booking_controller"/>
    <tableColumn id="23" name="hard_deadline_yn"/>
    <tableColumn id="24" name="max_shift_days"/>
    <tableColumn id="25" name="target_amount"/>
    <tableColumn id="26" name="target_currency"/>
    <tableColumn id="27" name="cost_scope"/>
    <tableColumn id="28" name="transshipment_allowed_yn"/>
    <tableColumn id="29" name="validation_result"/>
    <tableColumn id="30" name="validation_message"/>
    <tableColumn id="31" name="kcci_eligibility"/>
    <tableColumn id="32" name="kcci_route_code"/>
    <tableColumn id="3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8.65"/>
    <col collapsed="false" customWidth="true" hidden="false" outlineLevel="0" max="2" min="2" style="0" width="93.1"/>
    <col collapsed="false" customWidth="true" hidden="false" outlineLevel="0" max="3" min="3" style="0" width="26.26"/>
    <col collapsed="false" customWidth="true" hidden="false" outlineLevel="0" max="4" min="4" style="0" width="40.5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A4" s="2" t="s">
        <v>1</v>
      </c>
      <c r="B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</row>
    <row r="7" customFormat="false" ht="15" hidden="false" customHeight="false" outlineLevel="0" collapsed="false">
      <c r="A7" s="6" t="s">
        <v>7</v>
      </c>
      <c r="B7" s="7" t="s">
        <v>8</v>
      </c>
    </row>
    <row r="8" customFormat="false" ht="15" hidden="false" customHeight="false" outlineLevel="0" collapsed="false">
      <c r="A8" s="6" t="s">
        <v>9</v>
      </c>
      <c r="B8" s="7" t="s">
        <v>10</v>
      </c>
    </row>
    <row r="9" customFormat="false" ht="15" hidden="false" customHeight="false" outlineLevel="0" collapsed="false">
      <c r="A9" s="6" t="s">
        <v>11</v>
      </c>
      <c r="B9" s="7" t="s">
        <v>12</v>
      </c>
    </row>
    <row r="10" customFormat="false" ht="15" hidden="false" customHeight="false" outlineLevel="0" collapsed="false">
      <c r="A10" s="6" t="s">
        <v>13</v>
      </c>
      <c r="B10" s="8" t="s">
        <v>14</v>
      </c>
    </row>
    <row r="11" customFormat="false" ht="15" hidden="false" customHeight="false" outlineLevel="0" collapsed="false">
      <c r="A11" s="6" t="s">
        <v>15</v>
      </c>
      <c r="B11" s="7" t="s">
        <v>16</v>
      </c>
    </row>
    <row r="12" customFormat="false" ht="15" hidden="false" customHeight="false" outlineLevel="0" collapsed="false">
      <c r="A12" s="6" t="s">
        <v>17</v>
      </c>
      <c r="B12" s="8" t="s">
        <v>18</v>
      </c>
    </row>
    <row r="13" customFormat="false" ht="15" hidden="false" customHeight="false" outlineLevel="0" collapsed="false">
      <c r="A13" s="6" t="s">
        <v>19</v>
      </c>
      <c r="B13" s="7" t="s">
        <v>20</v>
      </c>
    </row>
    <row r="15" customFormat="false" ht="15" hidden="false" customHeight="false" outlineLevel="0" collapsed="false">
      <c r="A15" s="2" t="s">
        <v>21</v>
      </c>
      <c r="B15" s="9" t="s">
        <v>22</v>
      </c>
      <c r="C15" s="10" t="s">
        <v>23</v>
      </c>
      <c r="D15" s="3" t="s">
        <v>24</v>
      </c>
    </row>
    <row r="16" customFormat="false" ht="46.25" hidden="false" customHeight="false" outlineLevel="0" collapsed="false">
      <c r="A16" s="4" t="s">
        <v>25</v>
      </c>
      <c r="B16" s="11" t="s">
        <v>26</v>
      </c>
      <c r="C16" s="4" t="s">
        <v>27</v>
      </c>
      <c r="D16" s="11" t="s">
        <v>28</v>
      </c>
    </row>
    <row r="17" customFormat="false" ht="15" hidden="false" customHeight="false" outlineLevel="0" collapsed="false">
      <c r="A17" s="12" t="s">
        <v>29</v>
      </c>
      <c r="B17" s="8" t="s">
        <v>30</v>
      </c>
      <c r="C17" s="6" t="s">
        <v>31</v>
      </c>
      <c r="D17" s="7" t="s">
        <v>32</v>
      </c>
    </row>
    <row r="18" customFormat="false" ht="15" hidden="false" customHeight="false" outlineLevel="0" collapsed="false">
      <c r="A18" s="12" t="s">
        <v>33</v>
      </c>
      <c r="B18" s="8" t="s">
        <v>34</v>
      </c>
      <c r="C18" s="12" t="s">
        <v>35</v>
      </c>
      <c r="D18" s="7" t="s">
        <v>36</v>
      </c>
    </row>
    <row r="19" customFormat="false" ht="15" hidden="false" customHeight="false" outlineLevel="0" collapsed="false">
      <c r="A19" s="12" t="s">
        <v>37</v>
      </c>
      <c r="B19" s="8" t="s">
        <v>38</v>
      </c>
      <c r="C19" s="6" t="s">
        <v>39</v>
      </c>
      <c r="D19" s="7" t="s">
        <v>40</v>
      </c>
    </row>
    <row r="20" customFormat="false" ht="15" hidden="false" customHeight="false" outlineLevel="0" collapsed="false">
      <c r="A20" s="12" t="s">
        <v>41</v>
      </c>
      <c r="B20" s="8" t="s">
        <v>42</v>
      </c>
      <c r="C20" s="6" t="s">
        <v>43</v>
      </c>
      <c r="D20" s="8" t="s">
        <v>44</v>
      </c>
    </row>
    <row r="21" customFormat="false" ht="15" hidden="false" customHeight="false" outlineLevel="0" collapsed="false">
      <c r="A21" s="12" t="s">
        <v>45</v>
      </c>
      <c r="B21" s="8" t="s">
        <v>46</v>
      </c>
      <c r="C21" s="6" t="s">
        <v>47</v>
      </c>
      <c r="D21" s="8" t="s">
        <v>48</v>
      </c>
    </row>
  </sheetData>
  <mergeCells count="1">
    <mergeCell ref="A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2" min="1" style="0" width="21.48"/>
    <col collapsed="false" customWidth="true" hidden="false" outlineLevel="0" max="3" min="3" style="0" width="38.19"/>
    <col collapsed="false" customWidth="true" hidden="false" outlineLevel="0" max="4" min="4" style="0" width="17.9"/>
    <col collapsed="false" customWidth="true" hidden="false" outlineLevel="0" max="5" min="5" style="0" width="21.48"/>
    <col collapsed="false" customWidth="true" hidden="false" outlineLevel="0" max="7" min="6" style="0" width="23.87"/>
    <col collapsed="false" customWidth="true" hidden="false" outlineLevel="0" max="8" min="8" style="0" width="19.1"/>
    <col collapsed="false" customWidth="true" hidden="false" outlineLevel="0" max="9" min="9" style="0" width="21.48"/>
    <col collapsed="false" customWidth="true" hidden="false" outlineLevel="0" max="10" min="10" style="0" width="26.26"/>
    <col collapsed="false" customWidth="true" hidden="false" outlineLevel="0" max="11" min="11" style="0" width="19.1"/>
    <col collapsed="false" customWidth="true" hidden="false" outlineLevel="0" max="12" min="12" style="0" width="23.87"/>
    <col collapsed="false" customWidth="true" hidden="false" outlineLevel="0" max="13" min="13" style="0" width="21.48"/>
    <col collapsed="false" customWidth="true" hidden="false" outlineLevel="0" max="14" min="14" style="0" width="50.13"/>
  </cols>
  <sheetData>
    <row r="1" customFormat="false" ht="23.85" hidden="false" customHeight="false" outlineLevel="0" collapsed="false">
      <c r="A1" s="13" t="s">
        <v>49</v>
      </c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9" t="s">
        <v>58</v>
      </c>
      <c r="K1" s="9" t="s">
        <v>59</v>
      </c>
      <c r="L1" s="9" t="s">
        <v>60</v>
      </c>
      <c r="M1" s="9" t="s">
        <v>61</v>
      </c>
      <c r="N1" s="14" t="s">
        <v>62</v>
      </c>
    </row>
    <row r="2" customFormat="false" ht="15" hidden="false" customHeight="false" outlineLevel="0" collapsed="false">
      <c r="A2" s="15" t="s">
        <v>63</v>
      </c>
      <c r="B2" s="15" t="s">
        <v>64</v>
      </c>
      <c r="C2" s="16" t="s">
        <v>65</v>
      </c>
      <c r="D2" s="15" t="s">
        <v>66</v>
      </c>
      <c r="E2" s="15" t="s">
        <v>67</v>
      </c>
      <c r="F2" s="15" t="s">
        <v>68</v>
      </c>
      <c r="G2" s="15" t="s">
        <v>68</v>
      </c>
      <c r="H2" s="15" t="s">
        <v>69</v>
      </c>
      <c r="I2" s="17" t="n">
        <v>0.1</v>
      </c>
      <c r="J2" s="15" t="n">
        <v>5</v>
      </c>
      <c r="K2" s="15" t="s">
        <v>70</v>
      </c>
      <c r="L2" s="15" t="s">
        <v>71</v>
      </c>
      <c r="M2" s="15" t="s">
        <v>72</v>
      </c>
      <c r="N2" s="18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1.48"/>
    <col collapsed="false" customWidth="true" hidden="false" outlineLevel="0" max="2" min="2" style="0" width="28.65"/>
    <col collapsed="false" customWidth="true" hidden="false" outlineLevel="0" max="3" min="3" style="0" width="50.13"/>
    <col collapsed="false" customWidth="true" hidden="false" outlineLevel="0" max="5" min="5" style="0" width="28.65"/>
    <col collapsed="false" customWidth="true" hidden="false" outlineLevel="0" max="6" min="6" style="0" width="21.48"/>
    <col collapsed="false" customWidth="true" hidden="false" outlineLevel="0" max="8" min="8" style="0" width="23.87"/>
    <col collapsed="false" customWidth="true" hidden="false" outlineLevel="0" max="9" min="9" style="0" width="19.1"/>
    <col collapsed="false" customWidth="true" hidden="false" outlineLevel="0" max="10" min="10" style="0" width="28.65"/>
    <col collapsed="false" customWidth="true" hidden="false" outlineLevel="0" max="12" min="12" style="0" width="28.65"/>
    <col collapsed="false" customWidth="true" hidden="false" outlineLevel="0" max="13" min="13" style="0" width="21.48"/>
    <col collapsed="false" customWidth="true" hidden="false" outlineLevel="0" max="15" min="15" style="0" width="26.26"/>
    <col collapsed="false" customWidth="true" hidden="false" outlineLevel="0" max="17" min="17" style="0" width="28.65"/>
    <col collapsed="false" customWidth="true" hidden="false" outlineLevel="0" max="19" min="19" style="0" width="21.48"/>
    <col collapsed="false" customWidth="true" hidden="false" outlineLevel="0" max="21" min="21" style="0" width="19.1"/>
  </cols>
  <sheetData>
    <row r="1" customFormat="false" ht="15" hidden="false" customHeight="false" outlineLevel="0" collapsed="false">
      <c r="A1" s="13" t="s">
        <v>74</v>
      </c>
      <c r="B1" s="10" t="s">
        <v>75</v>
      </c>
      <c r="C1" s="3" t="s">
        <v>76</v>
      </c>
      <c r="E1" s="13" t="s">
        <v>77</v>
      </c>
      <c r="F1" s="3" t="s">
        <v>78</v>
      </c>
      <c r="H1" s="13" t="s">
        <v>79</v>
      </c>
      <c r="I1" s="9" t="s">
        <v>80</v>
      </c>
      <c r="J1" s="14" t="s">
        <v>81</v>
      </c>
      <c r="L1" s="13" t="s">
        <v>82</v>
      </c>
      <c r="M1" s="14" t="s">
        <v>83</v>
      </c>
      <c r="O1" s="19" t="s">
        <v>84</v>
      </c>
      <c r="Q1" s="19" t="s">
        <v>85</v>
      </c>
      <c r="S1" s="19" t="s">
        <v>86</v>
      </c>
      <c r="U1" s="19" t="s">
        <v>87</v>
      </c>
    </row>
    <row r="2" customFormat="false" ht="15" hidden="false" customHeight="false" outlineLevel="0" collapsed="false">
      <c r="A2" s="20" t="s">
        <v>88</v>
      </c>
      <c r="B2" s="20" t="s">
        <v>89</v>
      </c>
      <c r="C2" s="4" t="s">
        <v>90</v>
      </c>
      <c r="D2" s="20"/>
      <c r="E2" s="20" t="s">
        <v>91</v>
      </c>
      <c r="F2" s="20" t="s">
        <v>92</v>
      </c>
      <c r="G2" s="20"/>
      <c r="H2" s="20" t="s">
        <v>93</v>
      </c>
      <c r="I2" s="20" t="s">
        <v>94</v>
      </c>
      <c r="J2" s="20" t="s">
        <v>95</v>
      </c>
      <c r="K2" s="20"/>
      <c r="L2" s="20" t="s">
        <v>96</v>
      </c>
      <c r="M2" s="20" t="s">
        <v>97</v>
      </c>
      <c r="N2" s="20"/>
      <c r="O2" s="20" t="s">
        <v>98</v>
      </c>
      <c r="P2" s="20"/>
      <c r="Q2" s="20" t="s">
        <v>99</v>
      </c>
      <c r="R2" s="20"/>
      <c r="S2" s="20" t="s">
        <v>100</v>
      </c>
      <c r="T2" s="20"/>
      <c r="U2" s="20" t="s">
        <v>101</v>
      </c>
    </row>
    <row r="3" customFormat="false" ht="15" hidden="false" customHeight="false" outlineLevel="0" collapsed="false">
      <c r="A3" s="12" t="s">
        <v>102</v>
      </c>
      <c r="B3" s="12" t="s">
        <v>89</v>
      </c>
      <c r="C3" s="6" t="s">
        <v>90</v>
      </c>
      <c r="D3" s="12"/>
      <c r="E3" s="12" t="s">
        <v>103</v>
      </c>
      <c r="F3" s="12" t="s">
        <v>97</v>
      </c>
      <c r="G3" s="12"/>
      <c r="H3" s="12" t="s">
        <v>104</v>
      </c>
      <c r="I3" s="12" t="s">
        <v>94</v>
      </c>
      <c r="J3" s="12" t="s">
        <v>95</v>
      </c>
      <c r="K3" s="12"/>
      <c r="L3" s="12" t="s">
        <v>105</v>
      </c>
      <c r="M3" s="12" t="s">
        <v>97</v>
      </c>
      <c r="N3" s="12"/>
      <c r="O3" s="12" t="s">
        <v>106</v>
      </c>
      <c r="P3" s="12"/>
      <c r="Q3" s="12" t="s">
        <v>107</v>
      </c>
      <c r="R3" s="12"/>
      <c r="S3" s="12" t="s">
        <v>108</v>
      </c>
      <c r="T3" s="12"/>
      <c r="U3" s="12" t="s">
        <v>109</v>
      </c>
    </row>
    <row r="4" customFormat="false" ht="15" hidden="false" customHeight="false" outlineLevel="0" collapsed="false">
      <c r="A4" s="12" t="s">
        <v>110</v>
      </c>
      <c r="B4" s="12" t="s">
        <v>89</v>
      </c>
      <c r="C4" s="6" t="s">
        <v>111</v>
      </c>
      <c r="D4" s="12"/>
      <c r="E4" s="12" t="s">
        <v>112</v>
      </c>
      <c r="F4" s="12" t="s">
        <v>97</v>
      </c>
      <c r="G4" s="12"/>
      <c r="H4" s="12" t="s">
        <v>113</v>
      </c>
      <c r="I4" s="12" t="s">
        <v>114</v>
      </c>
      <c r="J4" s="12" t="s">
        <v>115</v>
      </c>
      <c r="K4" s="12"/>
      <c r="L4" s="12" t="s">
        <v>116</v>
      </c>
      <c r="M4" s="12" t="s">
        <v>92</v>
      </c>
      <c r="N4" s="12"/>
      <c r="O4" s="12" t="s">
        <v>117</v>
      </c>
      <c r="P4" s="12"/>
      <c r="Q4" s="12" t="s">
        <v>118</v>
      </c>
      <c r="R4" s="12"/>
      <c r="S4" s="12" t="s">
        <v>119</v>
      </c>
      <c r="T4" s="12"/>
      <c r="U4" s="12"/>
    </row>
    <row r="5" customFormat="false" ht="15" hidden="false" customHeight="false" outlineLevel="0" collapsed="false">
      <c r="A5" s="12" t="s">
        <v>120</v>
      </c>
      <c r="B5" s="12" t="s">
        <v>89</v>
      </c>
      <c r="C5" s="6" t="s">
        <v>121</v>
      </c>
      <c r="D5" s="12"/>
      <c r="E5" s="12" t="s">
        <v>122</v>
      </c>
      <c r="F5" s="12" t="s">
        <v>92</v>
      </c>
      <c r="G5" s="12"/>
      <c r="H5" s="12" t="s">
        <v>123</v>
      </c>
      <c r="I5" s="12" t="s">
        <v>114</v>
      </c>
      <c r="J5" s="12" t="s">
        <v>115</v>
      </c>
      <c r="K5" s="12"/>
      <c r="L5" s="12" t="s">
        <v>124</v>
      </c>
      <c r="M5" s="12" t="s">
        <v>92</v>
      </c>
      <c r="N5" s="12"/>
      <c r="O5" s="12" t="s">
        <v>125</v>
      </c>
      <c r="P5" s="12"/>
      <c r="Q5" s="12" t="s">
        <v>126</v>
      </c>
      <c r="R5" s="12"/>
      <c r="S5" s="12" t="s">
        <v>127</v>
      </c>
      <c r="T5" s="12"/>
      <c r="U5" s="12"/>
    </row>
    <row r="6" customFormat="false" ht="15" hidden="false" customHeight="false" outlineLevel="0" collapsed="false">
      <c r="A6" s="12" t="s">
        <v>128</v>
      </c>
      <c r="B6" s="12" t="s">
        <v>68</v>
      </c>
      <c r="C6" s="6" t="s">
        <v>111</v>
      </c>
      <c r="D6" s="12"/>
      <c r="E6" s="12" t="s">
        <v>129</v>
      </c>
      <c r="F6" s="12" t="s">
        <v>92</v>
      </c>
      <c r="G6" s="12"/>
      <c r="H6" s="12" t="s">
        <v>130</v>
      </c>
      <c r="I6" s="12" t="s">
        <v>131</v>
      </c>
      <c r="J6" s="12" t="s">
        <v>132</v>
      </c>
      <c r="K6" s="12"/>
      <c r="L6" s="12" t="s">
        <v>133</v>
      </c>
      <c r="M6" s="12" t="s">
        <v>92</v>
      </c>
      <c r="N6" s="12"/>
      <c r="O6" s="12" t="s">
        <v>134</v>
      </c>
      <c r="P6" s="12"/>
      <c r="Q6" s="12" t="s">
        <v>135</v>
      </c>
      <c r="R6" s="12"/>
      <c r="S6" s="12"/>
      <c r="T6" s="12"/>
      <c r="U6" s="12"/>
    </row>
    <row r="7" customFormat="false" ht="15" hidden="false" customHeight="false" outlineLevel="0" collapsed="false">
      <c r="A7" s="12" t="s">
        <v>136</v>
      </c>
      <c r="B7" s="12" t="s">
        <v>68</v>
      </c>
      <c r="C7" s="6" t="s">
        <v>137</v>
      </c>
      <c r="D7" s="12"/>
      <c r="E7" s="12" t="s">
        <v>109</v>
      </c>
      <c r="F7" s="12" t="s">
        <v>92</v>
      </c>
      <c r="G7" s="12"/>
      <c r="H7" s="12" t="s">
        <v>138</v>
      </c>
      <c r="I7" s="12" t="s">
        <v>131</v>
      </c>
      <c r="J7" s="12" t="s">
        <v>132</v>
      </c>
      <c r="K7" s="12"/>
      <c r="L7" s="12" t="s">
        <v>139</v>
      </c>
      <c r="M7" s="12" t="s">
        <v>92</v>
      </c>
      <c r="N7" s="12"/>
      <c r="O7" s="12" t="s">
        <v>140</v>
      </c>
      <c r="P7" s="12"/>
      <c r="Q7" s="12" t="s">
        <v>141</v>
      </c>
      <c r="R7" s="12"/>
      <c r="S7" s="12"/>
      <c r="T7" s="12"/>
      <c r="U7" s="12"/>
    </row>
    <row r="8" customFormat="false" ht="15" hidden="false" customHeight="false" outlineLevel="0" collapsed="false">
      <c r="A8" s="12" t="s">
        <v>142</v>
      </c>
      <c r="B8" s="12" t="s">
        <v>68</v>
      </c>
      <c r="C8" s="6" t="s">
        <v>143</v>
      </c>
      <c r="D8" s="12"/>
      <c r="E8" s="12" t="s">
        <v>127</v>
      </c>
      <c r="F8" s="12" t="s">
        <v>92</v>
      </c>
      <c r="G8" s="12"/>
      <c r="H8" s="12" t="s">
        <v>144</v>
      </c>
      <c r="I8" s="12" t="s">
        <v>145</v>
      </c>
      <c r="J8" s="12" t="s">
        <v>146</v>
      </c>
      <c r="K8" s="12"/>
      <c r="L8" s="12" t="s">
        <v>147</v>
      </c>
      <c r="M8" s="12" t="s">
        <v>92</v>
      </c>
      <c r="N8" s="12"/>
      <c r="O8" s="12" t="s">
        <v>148</v>
      </c>
      <c r="P8" s="12"/>
      <c r="Q8" s="12"/>
      <c r="R8" s="12"/>
      <c r="S8" s="12"/>
      <c r="T8" s="12"/>
      <c r="U8" s="12"/>
    </row>
    <row r="9" customFormat="false" ht="15" hidden="false" customHeight="false" outlineLevel="0" collapsed="false">
      <c r="A9" s="12" t="s">
        <v>149</v>
      </c>
      <c r="B9" s="12" t="s">
        <v>68</v>
      </c>
      <c r="C9" s="6" t="s">
        <v>150</v>
      </c>
      <c r="D9" s="12"/>
      <c r="E9" s="12" t="s">
        <v>151</v>
      </c>
      <c r="F9" s="12" t="s">
        <v>92</v>
      </c>
      <c r="G9" s="12"/>
      <c r="H9" s="12" t="s">
        <v>152</v>
      </c>
      <c r="I9" s="12" t="s">
        <v>153</v>
      </c>
      <c r="J9" s="12" t="s">
        <v>154</v>
      </c>
      <c r="K9" s="12"/>
      <c r="L9" s="12" t="s">
        <v>151</v>
      </c>
      <c r="M9" s="12" t="s">
        <v>92</v>
      </c>
      <c r="N9" s="12"/>
      <c r="O9" s="12" t="s">
        <v>155</v>
      </c>
      <c r="P9" s="12"/>
      <c r="Q9" s="12"/>
      <c r="R9" s="12"/>
      <c r="S9" s="12"/>
      <c r="T9" s="12"/>
      <c r="U9" s="12"/>
    </row>
    <row r="10" customFormat="false" ht="15" hidden="false" customHeight="false" outlineLevel="0" collapsed="false">
      <c r="A10" s="12" t="s">
        <v>156</v>
      </c>
      <c r="B10" s="12" t="s">
        <v>68</v>
      </c>
      <c r="C10" s="6" t="s">
        <v>157</v>
      </c>
      <c r="D10" s="12"/>
      <c r="E10" s="12"/>
      <c r="F10" s="12"/>
      <c r="G10" s="12"/>
      <c r="H10" s="12" t="s">
        <v>158</v>
      </c>
      <c r="I10" s="12" t="s">
        <v>159</v>
      </c>
      <c r="J10" s="12" t="s">
        <v>160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customFormat="false" ht="15" hidden="false" customHeight="false" outlineLevel="0" collapsed="false">
      <c r="A11" s="12" t="s">
        <v>161</v>
      </c>
      <c r="B11" s="12" t="s">
        <v>68</v>
      </c>
      <c r="C11" s="6" t="s">
        <v>162</v>
      </c>
      <c r="D11" s="12"/>
      <c r="E11" s="12"/>
      <c r="F11" s="12"/>
      <c r="G11" s="12"/>
      <c r="H11" s="12" t="s">
        <v>163</v>
      </c>
      <c r="I11" s="12" t="s">
        <v>164</v>
      </c>
      <c r="J11" s="12" t="s">
        <v>165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customFormat="false" ht="15" hidden="false" customHeight="false" outlineLevel="0" collapsed="false">
      <c r="A12" s="12" t="s">
        <v>166</v>
      </c>
      <c r="B12" s="12" t="s">
        <v>68</v>
      </c>
      <c r="C12" s="6" t="s">
        <v>167</v>
      </c>
      <c r="D12" s="12"/>
      <c r="E12" s="12"/>
      <c r="F12" s="12"/>
      <c r="G12" s="12"/>
      <c r="H12" s="12" t="s">
        <v>168</v>
      </c>
      <c r="I12" s="12" t="s">
        <v>169</v>
      </c>
      <c r="J12" s="12" t="s">
        <v>170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customFormat="false" ht="15" hidden="false" customHeight="false" outlineLevel="0" collapsed="false">
      <c r="A13" s="12"/>
      <c r="B13" s="12"/>
      <c r="C13" s="12" t="s">
        <v>171</v>
      </c>
      <c r="D13" s="12"/>
      <c r="E13" s="12"/>
      <c r="F13" s="12"/>
      <c r="G13" s="12"/>
      <c r="H13" s="12" t="s">
        <v>172</v>
      </c>
      <c r="I13" s="12" t="s">
        <v>173</v>
      </c>
      <c r="J13" s="12" t="s">
        <v>174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6" t="s">
        <v>175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2.68"/>
    <col collapsed="false" customWidth="true" hidden="false" outlineLevel="0" max="2" min="2" style="0" width="21.48"/>
    <col collapsed="false" customWidth="true" hidden="false" outlineLevel="0" max="5" min="3" style="0" width="20.29"/>
    <col collapsed="false" customWidth="true" hidden="false" outlineLevel="0" max="6" min="6" style="0" width="23.87"/>
    <col collapsed="false" customWidth="true" hidden="false" outlineLevel="0" max="8" min="7" style="0" width="19.1"/>
    <col collapsed="false" customWidth="true" hidden="false" outlineLevel="0" max="9" min="9" style="0" width="15.51"/>
    <col collapsed="false" customWidth="true" hidden="false" outlineLevel="0" max="10" min="10" style="0" width="26.26"/>
    <col collapsed="false" customWidth="true" hidden="false" outlineLevel="0" max="11" min="11" style="0" width="20.29"/>
    <col collapsed="false" customWidth="true" hidden="false" outlineLevel="0" max="12" min="12" style="0" width="17.9"/>
    <col collapsed="false" customWidth="true" hidden="false" outlineLevel="0" max="13" min="13" style="0" width="21.48"/>
    <col collapsed="false" customWidth="true" hidden="false" outlineLevel="0" max="14" min="14" style="0" width="16.71"/>
    <col collapsed="false" customWidth="true" hidden="false" outlineLevel="0" max="15" min="15" style="0" width="19.1"/>
    <col collapsed="false" customWidth="true" hidden="false" outlineLevel="0" max="16" min="16" style="0" width="14.33"/>
    <col collapsed="false" customWidth="true" hidden="false" outlineLevel="0" max="17" min="17" style="0" width="38.19"/>
    <col collapsed="false" customWidth="true" hidden="false" outlineLevel="0" max="18" min="18" style="0" width="19.1"/>
    <col collapsed="false" customWidth="true" hidden="false" outlineLevel="0" max="19" min="19" style="0" width="33.42"/>
    <col collapsed="false" customWidth="true" hidden="false" outlineLevel="0" max="20" min="20" style="0" width="19.1"/>
    <col collapsed="false" customWidth="true" hidden="false" outlineLevel="0" max="21" min="21" style="0" width="26.26"/>
    <col collapsed="false" customWidth="true" hidden="false" outlineLevel="0" max="22" min="22" style="0" width="23.87"/>
    <col collapsed="false" customWidth="true" hidden="false" outlineLevel="0" max="23" min="23" style="0" width="21.48"/>
    <col collapsed="false" customWidth="true" hidden="false" outlineLevel="0" max="24" min="24" style="0" width="19.1"/>
    <col collapsed="false" customWidth="true" hidden="false" outlineLevel="0" max="25" min="25" style="0" width="21.48"/>
    <col collapsed="false" customWidth="true" hidden="false" outlineLevel="0" max="26" min="26" style="0" width="19.1"/>
    <col collapsed="false" customWidth="true" hidden="false" outlineLevel="0" max="27" min="27" style="0" width="26.26"/>
    <col collapsed="false" customWidth="true" hidden="false" outlineLevel="0" max="28" min="28" style="0" width="28.65"/>
    <col collapsed="false" customWidth="true" hidden="false" outlineLevel="0" max="29" min="29" style="0" width="21.48"/>
    <col collapsed="false" customWidth="true" hidden="false" outlineLevel="0" max="30" min="30" style="0" width="57.29"/>
    <col collapsed="false" customWidth="true" hidden="false" outlineLevel="0" max="32" min="31" style="0" width="21.48"/>
    <col collapsed="false" customWidth="true" hidden="false" outlineLevel="0" max="33" min="33" style="0" width="50.13"/>
  </cols>
  <sheetData>
    <row r="1" customFormat="false" ht="23.85" hidden="false" customHeight="false" outlineLevel="0" collapsed="false">
      <c r="A1" s="13" t="s">
        <v>176</v>
      </c>
      <c r="B1" s="9" t="s">
        <v>50</v>
      </c>
      <c r="C1" s="9" t="s">
        <v>177</v>
      </c>
      <c r="D1" s="9" t="s">
        <v>178</v>
      </c>
      <c r="E1" s="9" t="s">
        <v>179</v>
      </c>
      <c r="F1" s="9" t="s">
        <v>180</v>
      </c>
      <c r="G1" s="9" t="s">
        <v>181</v>
      </c>
      <c r="H1" s="9" t="s">
        <v>182</v>
      </c>
      <c r="I1" s="9" t="s">
        <v>87</v>
      </c>
      <c r="J1" s="9" t="s">
        <v>77</v>
      </c>
      <c r="K1" s="9" t="s">
        <v>183</v>
      </c>
      <c r="L1" s="9" t="s">
        <v>184</v>
      </c>
      <c r="M1" s="9" t="s">
        <v>185</v>
      </c>
      <c r="N1" s="9" t="s">
        <v>186</v>
      </c>
      <c r="O1" s="9" t="s">
        <v>86</v>
      </c>
      <c r="P1" s="9" t="s">
        <v>187</v>
      </c>
      <c r="Q1" s="9" t="s">
        <v>188</v>
      </c>
      <c r="R1" s="9" t="s">
        <v>189</v>
      </c>
      <c r="S1" s="9" t="s">
        <v>190</v>
      </c>
      <c r="T1" s="9" t="s">
        <v>191</v>
      </c>
      <c r="U1" s="9" t="s">
        <v>54</v>
      </c>
      <c r="V1" s="9" t="s">
        <v>55</v>
      </c>
      <c r="W1" s="9" t="s">
        <v>192</v>
      </c>
      <c r="X1" s="9" t="s">
        <v>193</v>
      </c>
      <c r="Y1" s="9" t="s">
        <v>194</v>
      </c>
      <c r="Z1" s="9" t="s">
        <v>195</v>
      </c>
      <c r="AA1" s="9" t="s">
        <v>85</v>
      </c>
      <c r="AB1" s="9" t="s">
        <v>196</v>
      </c>
      <c r="AC1" s="9" t="s">
        <v>197</v>
      </c>
      <c r="AD1" s="9" t="s">
        <v>198</v>
      </c>
      <c r="AE1" s="9" t="s">
        <v>199</v>
      </c>
      <c r="AF1" s="9" t="s">
        <v>200</v>
      </c>
      <c r="AG1" s="14" t="s">
        <v>62</v>
      </c>
    </row>
    <row r="2" customFormat="false" ht="15" hidden="false" customHeight="false" outlineLevel="0" collapsed="false">
      <c r="A2" s="15" t="s">
        <v>201</v>
      </c>
      <c r="B2" s="15" t="s">
        <v>64</v>
      </c>
      <c r="C2" s="21" t="n">
        <v>46223</v>
      </c>
      <c r="D2" s="21" t="n">
        <v>46228</v>
      </c>
      <c r="E2" s="21" t="n">
        <v>46232</v>
      </c>
      <c r="F2" s="21" t="n">
        <v>46261</v>
      </c>
      <c r="G2" s="15" t="s">
        <v>67</v>
      </c>
      <c r="H2" s="15" t="s">
        <v>93</v>
      </c>
      <c r="I2" s="15" t="s">
        <v>101</v>
      </c>
      <c r="J2" s="15" t="s">
        <v>112</v>
      </c>
      <c r="K2" s="15" t="n">
        <v>2</v>
      </c>
      <c r="L2" s="15"/>
      <c r="M2" s="15" t="n">
        <v>32800</v>
      </c>
      <c r="N2" s="15"/>
      <c r="O2" s="15" t="s">
        <v>100</v>
      </c>
      <c r="P2" s="15" t="s">
        <v>202</v>
      </c>
      <c r="Q2" s="15" t="s">
        <v>203</v>
      </c>
      <c r="R2" s="15" t="s">
        <v>128</v>
      </c>
      <c r="S2" s="15" t="s">
        <v>204</v>
      </c>
      <c r="T2" s="15" t="s">
        <v>205</v>
      </c>
      <c r="U2" s="15" t="s">
        <v>68</v>
      </c>
      <c r="V2" s="15" t="s">
        <v>68</v>
      </c>
      <c r="W2" s="15" t="s">
        <v>97</v>
      </c>
      <c r="X2" s="15" t="n">
        <v>2</v>
      </c>
      <c r="Y2" s="22" t="n">
        <v>14000</v>
      </c>
      <c r="Z2" s="15" t="s">
        <v>66</v>
      </c>
      <c r="AA2" s="15" t="s">
        <v>126</v>
      </c>
      <c r="AB2" s="15" t="s">
        <v>97</v>
      </c>
      <c r="AC2" s="23" t="str">
        <f aca="false">IF(OR(A2="",C2="",G2="",H2="",I2="",O2="",R2="",S2="",T2="",U2="",V2="",W2=""),"BLOCKING",IF(AND(I2="FCL",OR(J2="",K2&lt;=0)),"BLOCKING",IF(AND(I2="LCL",OR(L2&lt;=0,M2&lt;=0,N2&lt;=0)),"BLOCKING",IF(AND(E2&lt;&gt;"",C2&gt;E2),"BLOCKING",IF(AE2&lt;&gt;"DIRECT","WARNING","OK")))))</f>
        <v>OK</v>
      </c>
      <c r="AD2" s="24" t="str">
        <f aca="false">IF(AC2="BLOCKING","필수값·물량·날짜 순서를 확인하세요.",IF(AE2="NO_CONTROL","수출자가 부킹을 통제하지 않아 직접 부킹 권고를 제한합니다.",IF(AE2="UNSUPPORTED","KCCI 직접 비교 범위 밖입니다. 예산·복수견적·마감 관리는 가능합니다.","검증 통과")))</f>
        <v>검증 통과</v>
      </c>
      <c r="AE2" s="23" t="str">
        <f aca="false">IF(V2&lt;&gt;"SELLER","NO_CONTROL",IF(AND(G2="KRPUS",I2="FCL",OR(J2="40GP",J2="40HC"),O2="DRY",AF2&lt;&gt;""),"DIRECT","UNSUPPORTED"))</f>
        <v>DIRECT</v>
      </c>
      <c r="AF2" s="23" t="str">
        <f aca="false">IFERROR(VLOOKUP(H2,코드표!$H$2:$I$13,2,FALSE()),"")</f>
        <v>KUWI</v>
      </c>
      <c r="AG2" s="11" t="s">
        <v>206</v>
      </c>
    </row>
    <row r="3" customFormat="false" ht="15" hidden="false" customHeight="false" outlineLevel="0" collapsed="false">
      <c r="A3" s="25" t="s">
        <v>207</v>
      </c>
      <c r="B3" s="25" t="s">
        <v>64</v>
      </c>
      <c r="C3" s="26" t="n">
        <v>46226</v>
      </c>
      <c r="D3" s="26" t="n">
        <v>46231</v>
      </c>
      <c r="E3" s="26" t="n">
        <v>46236</v>
      </c>
      <c r="F3" s="26" t="n">
        <v>46270</v>
      </c>
      <c r="G3" s="25" t="s">
        <v>67</v>
      </c>
      <c r="H3" s="25" t="s">
        <v>130</v>
      </c>
      <c r="I3" s="25" t="s">
        <v>101</v>
      </c>
      <c r="J3" s="25" t="s">
        <v>112</v>
      </c>
      <c r="K3" s="25" t="n">
        <v>1</v>
      </c>
      <c r="L3" s="25"/>
      <c r="M3" s="25" t="n">
        <v>17600</v>
      </c>
      <c r="N3" s="25"/>
      <c r="O3" s="25" t="s">
        <v>100</v>
      </c>
      <c r="P3" s="25" t="s">
        <v>208</v>
      </c>
      <c r="Q3" s="25" t="s">
        <v>209</v>
      </c>
      <c r="R3" s="25" t="s">
        <v>136</v>
      </c>
      <c r="S3" s="25" t="s">
        <v>210</v>
      </c>
      <c r="T3" s="25" t="s">
        <v>205</v>
      </c>
      <c r="U3" s="25" t="s">
        <v>68</v>
      </c>
      <c r="V3" s="25" t="s">
        <v>68</v>
      </c>
      <c r="W3" s="25" t="s">
        <v>97</v>
      </c>
      <c r="X3" s="25" t="n">
        <v>2</v>
      </c>
      <c r="Y3" s="27" t="n">
        <v>5600</v>
      </c>
      <c r="Z3" s="25" t="s">
        <v>66</v>
      </c>
      <c r="AA3" s="25" t="s">
        <v>126</v>
      </c>
      <c r="AB3" s="25" t="s">
        <v>97</v>
      </c>
      <c r="AC3" s="28" t="str">
        <f aca="false">IF(OR(A3="",C3="",G3="",H3="",I3="",O3="",R3="",S3="",T3="",U3="",V3="",W3=""),"BLOCKING",IF(AND(I3="FCL",OR(J3="",K3&lt;=0)),"BLOCKING",IF(AND(I3="LCL",OR(L3&lt;=0,M3&lt;=0,N3&lt;=0)),"BLOCKING",IF(AND(E3&lt;&gt;"",C3&gt;E3),"BLOCKING",IF(AE3&lt;&gt;"DIRECT","WARNING","OK")))))</f>
        <v>OK</v>
      </c>
      <c r="AD3" s="29" t="str">
        <f aca="false">IF(AC3="BLOCKING","필수값·물량·날짜 순서를 확인하세요.",IF(AE3="NO_CONTROL","수출자가 부킹을 통제하지 않아 직접 부킹 권고를 제한합니다.",IF(AE3="UNSUPPORTED","KCCI 직접 비교 범위 밖입니다. 예산·복수견적·마감 관리는 가능합니다.","검증 통과")))</f>
        <v>검증 통과</v>
      </c>
      <c r="AE3" s="28" t="str">
        <f aca="false">IF(V3&lt;&gt;"SELLER","NO_CONTROL",IF(AND(G3="KRPUS",I3="FCL",OR(J3="40GP",J3="40HC"),O3="DRY",AF3&lt;&gt;""),"DIRECT","UNSUPPORTED"))</f>
        <v>DIRECT</v>
      </c>
      <c r="AF3" s="28" t="str">
        <f aca="false">IFERROR(VLOOKUP(H3,코드표!$H$2:$I$13,2,FALSE()),"")</f>
        <v>KNEI</v>
      </c>
      <c r="AG3" s="7" t="s">
        <v>211</v>
      </c>
    </row>
    <row r="4" customFormat="false" ht="15" hidden="false" customHeight="false" outlineLevel="0" collapsed="false">
      <c r="A4" s="25" t="s">
        <v>212</v>
      </c>
      <c r="B4" s="25" t="s">
        <v>64</v>
      </c>
      <c r="C4" s="26" t="n">
        <v>46221</v>
      </c>
      <c r="D4" s="26" t="n">
        <v>46224</v>
      </c>
      <c r="E4" s="26" t="n">
        <v>46228</v>
      </c>
      <c r="F4" s="26" t="n">
        <v>46246</v>
      </c>
      <c r="G4" s="25" t="s">
        <v>67</v>
      </c>
      <c r="H4" s="25" t="s">
        <v>158</v>
      </c>
      <c r="I4" s="25" t="s">
        <v>101</v>
      </c>
      <c r="J4" s="25" t="s">
        <v>103</v>
      </c>
      <c r="K4" s="25" t="n">
        <v>1</v>
      </c>
      <c r="L4" s="25"/>
      <c r="M4" s="25" t="n">
        <v>12400</v>
      </c>
      <c r="N4" s="25"/>
      <c r="O4" s="25" t="s">
        <v>100</v>
      </c>
      <c r="P4" s="25" t="s">
        <v>202</v>
      </c>
      <c r="Q4" s="25" t="s">
        <v>213</v>
      </c>
      <c r="R4" s="25" t="s">
        <v>142</v>
      </c>
      <c r="S4" s="25" t="s">
        <v>214</v>
      </c>
      <c r="T4" s="25" t="s">
        <v>205</v>
      </c>
      <c r="U4" s="25" t="s">
        <v>68</v>
      </c>
      <c r="V4" s="25" t="s">
        <v>68</v>
      </c>
      <c r="W4" s="25" t="s">
        <v>92</v>
      </c>
      <c r="X4" s="25" t="n">
        <v>2</v>
      </c>
      <c r="Y4" s="27" t="n">
        <v>1280</v>
      </c>
      <c r="Z4" s="25" t="s">
        <v>66</v>
      </c>
      <c r="AA4" s="25" t="s">
        <v>126</v>
      </c>
      <c r="AB4" s="25" t="s">
        <v>97</v>
      </c>
      <c r="AC4" s="28" t="str">
        <f aca="false">IF(OR(A4="",C4="",G4="",H4="",I4="",O4="",R4="",S4="",T4="",U4="",V4="",W4=""),"BLOCKING",IF(AND(I4="FCL",OR(J4="",K4&lt;=0)),"BLOCKING",IF(AND(I4="LCL",OR(L4&lt;=0,M4&lt;=0,N4&lt;=0)),"BLOCKING",IF(AND(E4&lt;&gt;"",C4&gt;E4),"BLOCKING",IF(AE4&lt;&gt;"DIRECT","WARNING","OK")))))</f>
        <v>OK</v>
      </c>
      <c r="AD4" s="29" t="str">
        <f aca="false">IF(AC4="BLOCKING","필수값·물량·날짜 순서를 확인하세요.",IF(AE4="NO_CONTROL","수출자가 부킹을 통제하지 않아 직접 부킹 권고를 제한합니다.",IF(AE4="UNSUPPORTED","KCCI 직접 비교 범위 밖입니다. 예산·복수견적·마감 관리는 가능합니다.","검증 통과")))</f>
        <v>검증 통과</v>
      </c>
      <c r="AE4" s="28" t="str">
        <f aca="false">IF(V4&lt;&gt;"SELLER","NO_CONTROL",IF(AND(G4="KRPUS",I4="FCL",OR(J4="40GP",J4="40HC"),O4="DRY",AF4&lt;&gt;""),"DIRECT","UNSUPPORTED"))</f>
        <v>DIRECT</v>
      </c>
      <c r="AF4" s="28" t="str">
        <f aca="false">IFERROR(VLOOKUP(H4,코드표!$H$2:$I$13,2,FALSE()),"")</f>
        <v>KSEI</v>
      </c>
      <c r="AG4" s="7" t="s">
        <v>215</v>
      </c>
    </row>
    <row r="5" customFormat="false" ht="15" hidden="false" customHeight="false" outlineLevel="0" collapsed="false">
      <c r="A5" s="25" t="s">
        <v>216</v>
      </c>
      <c r="B5" s="25" t="s">
        <v>64</v>
      </c>
      <c r="C5" s="26" t="n">
        <v>46222</v>
      </c>
      <c r="D5" s="26" t="n">
        <v>46225</v>
      </c>
      <c r="E5" s="26" t="n">
        <v>46228</v>
      </c>
      <c r="F5" s="26" t="n">
        <v>46237</v>
      </c>
      <c r="G5" s="25" t="s">
        <v>67</v>
      </c>
      <c r="H5" s="25" t="s">
        <v>163</v>
      </c>
      <c r="I5" s="25" t="s">
        <v>101</v>
      </c>
      <c r="J5" s="25" t="s">
        <v>91</v>
      </c>
      <c r="K5" s="25" t="n">
        <v>1</v>
      </c>
      <c r="L5" s="25"/>
      <c r="M5" s="25" t="n">
        <v>7800</v>
      </c>
      <c r="N5" s="25"/>
      <c r="O5" s="25" t="s">
        <v>100</v>
      </c>
      <c r="P5" s="25" t="s">
        <v>208</v>
      </c>
      <c r="Q5" s="25" t="s">
        <v>217</v>
      </c>
      <c r="R5" s="25" t="s">
        <v>128</v>
      </c>
      <c r="S5" s="25" t="s">
        <v>218</v>
      </c>
      <c r="T5" s="25" t="s">
        <v>205</v>
      </c>
      <c r="U5" s="25" t="s">
        <v>68</v>
      </c>
      <c r="V5" s="25" t="s">
        <v>68</v>
      </c>
      <c r="W5" s="25" t="s">
        <v>92</v>
      </c>
      <c r="X5" s="25" t="n">
        <v>1</v>
      </c>
      <c r="Y5" s="27" t="n">
        <v>620</v>
      </c>
      <c r="Z5" s="25" t="s">
        <v>66</v>
      </c>
      <c r="AA5" s="25" t="s">
        <v>126</v>
      </c>
      <c r="AB5" s="25" t="s">
        <v>97</v>
      </c>
      <c r="AC5" s="28" t="str">
        <f aca="false">IF(OR(A5="",C5="",G5="",H5="",I5="",O5="",R5="",S5="",T5="",U5="",V5="",W5=""),"BLOCKING",IF(AND(I5="FCL",OR(J5="",K5&lt;=0)),"BLOCKING",IF(AND(I5="LCL",OR(L5&lt;=0,M5&lt;=0,N5&lt;=0)),"BLOCKING",IF(AND(E5&lt;&gt;"",C5&gt;E5),"BLOCKING",IF(AE5&lt;&gt;"DIRECT","WARNING","OK")))))</f>
        <v>WARNING</v>
      </c>
      <c r="AD5" s="29" t="str">
        <f aca="false">IF(AC5="BLOCKING","필수값·물량·날짜 순서를 확인하세요.",IF(AE5="NO_CONTROL","수출자가 부킹을 통제하지 않아 직접 부킹 권고를 제한합니다.",IF(AE5="UNSUPPORTED","KCCI 직접 비교 범위 밖입니다. 예산·복수견적·마감 관리는 가능합니다.","검증 통과")))</f>
        <v>KCCI 직접 비교 범위 밖입니다. 예산·복수견적·마감 관리는 가능합니다.</v>
      </c>
      <c r="AE5" s="28" t="str">
        <f aca="false">IF(V5&lt;&gt;"SELLER","NO_CONTROL",IF(AND(G5="KRPUS",I5="FCL",OR(J5="40GP",J5="40HC"),O5="DRY",AF5&lt;&gt;""),"DIRECT","UNSUPPORTED"))</f>
        <v>UNSUPPORTED</v>
      </c>
      <c r="AF5" s="28" t="str">
        <f aca="false">IFERROR(VLOOKUP(H5,코드표!$H$2:$I$13,2,FALSE()),"")</f>
        <v>KJI</v>
      </c>
      <c r="AG5" s="8" t="s">
        <v>219</v>
      </c>
    </row>
    <row r="6" customFormat="false" ht="15" hidden="false" customHeight="false" outlineLevel="0" collapsed="false">
      <c r="A6" s="25" t="s">
        <v>220</v>
      </c>
      <c r="B6" s="25" t="s">
        <v>64</v>
      </c>
      <c r="C6" s="26" t="n">
        <v>46229</v>
      </c>
      <c r="D6" s="26" t="n">
        <v>46233</v>
      </c>
      <c r="E6" s="26" t="n">
        <v>46238</v>
      </c>
      <c r="F6" s="26" t="n">
        <v>46273</v>
      </c>
      <c r="G6" s="25" t="s">
        <v>67</v>
      </c>
      <c r="H6" s="25" t="s">
        <v>138</v>
      </c>
      <c r="I6" s="25" t="s">
        <v>101</v>
      </c>
      <c r="J6" s="25" t="s">
        <v>129</v>
      </c>
      <c r="K6" s="25" t="n">
        <v>1</v>
      </c>
      <c r="L6" s="25"/>
      <c r="M6" s="25" t="n">
        <v>18500</v>
      </c>
      <c r="N6" s="25"/>
      <c r="O6" s="25" t="s">
        <v>108</v>
      </c>
      <c r="P6" s="25" t="s">
        <v>221</v>
      </c>
      <c r="Q6" s="25" t="s">
        <v>222</v>
      </c>
      <c r="R6" s="25" t="s">
        <v>136</v>
      </c>
      <c r="S6" s="25" t="s">
        <v>223</v>
      </c>
      <c r="T6" s="25" t="s">
        <v>205</v>
      </c>
      <c r="U6" s="25" t="s">
        <v>68</v>
      </c>
      <c r="V6" s="25" t="s">
        <v>68</v>
      </c>
      <c r="W6" s="25" t="s">
        <v>97</v>
      </c>
      <c r="X6" s="25" t="n">
        <v>1</v>
      </c>
      <c r="Y6" s="27" t="n">
        <v>8000</v>
      </c>
      <c r="Z6" s="25" t="s">
        <v>66</v>
      </c>
      <c r="AA6" s="25" t="s">
        <v>126</v>
      </c>
      <c r="AB6" s="25" t="s">
        <v>92</v>
      </c>
      <c r="AC6" s="28" t="str">
        <f aca="false">IF(OR(A6="",C6="",G6="",H6="",I6="",O6="",R6="",S6="",T6="",U6="",V6="",W6=""),"BLOCKING",IF(AND(I6="FCL",OR(J6="",K6&lt;=0)),"BLOCKING",IF(AND(I6="LCL",OR(L6&lt;=0,M6&lt;=0,N6&lt;=0)),"BLOCKING",IF(AND(E6&lt;&gt;"",C6&gt;E6),"BLOCKING",IF(AE6&lt;&gt;"DIRECT","WARNING","OK")))))</f>
        <v>WARNING</v>
      </c>
      <c r="AD6" s="29" t="str">
        <f aca="false">IF(AC6="BLOCKING","필수값·물량·날짜 순서를 확인하세요.",IF(AE6="NO_CONTROL","수출자가 부킹을 통제하지 않아 직접 부킹 권고를 제한합니다.",IF(AE6="UNSUPPORTED","KCCI 직접 비교 범위 밖입니다. 예산·복수견적·마감 관리는 가능합니다.","검증 통과")))</f>
        <v>KCCI 직접 비교 범위 밖입니다. 예산·복수견적·마감 관리는 가능합니다.</v>
      </c>
      <c r="AE6" s="28" t="str">
        <f aca="false">IF(V6&lt;&gt;"SELLER","NO_CONTROL",IF(AND(G6="KRPUS",I6="FCL",OR(J6="40GP",J6="40HC"),O6="DRY",AF6&lt;&gt;""),"DIRECT","UNSUPPORTED"))</f>
        <v>UNSUPPORTED</v>
      </c>
      <c r="AF6" s="28" t="str">
        <f aca="false">IFERROR(VLOOKUP(H6,코드표!$H$2:$I$13,2,FALSE()),"")</f>
        <v>KNEI</v>
      </c>
      <c r="AG6" s="8" t="s">
        <v>224</v>
      </c>
    </row>
    <row r="7" customFormat="false" ht="15" hidden="false" customHeight="false" outlineLevel="0" collapsed="false">
      <c r="A7" s="25" t="s">
        <v>225</v>
      </c>
      <c r="B7" s="25" t="s">
        <v>64</v>
      </c>
      <c r="C7" s="26" t="n">
        <v>46224</v>
      </c>
      <c r="D7" s="26" t="n">
        <v>46229</v>
      </c>
      <c r="E7" s="26" t="n">
        <v>46236</v>
      </c>
      <c r="F7" s="26" t="n">
        <v>46270</v>
      </c>
      <c r="G7" s="25" t="s">
        <v>67</v>
      </c>
      <c r="H7" s="25" t="s">
        <v>93</v>
      </c>
      <c r="I7" s="25" t="s">
        <v>109</v>
      </c>
      <c r="J7" s="25" t="s">
        <v>109</v>
      </c>
      <c r="K7" s="25"/>
      <c r="L7" s="25" t="n">
        <v>18</v>
      </c>
      <c r="M7" s="25" t="n">
        <v>4200</v>
      </c>
      <c r="N7" s="25" t="n">
        <v>9.6</v>
      </c>
      <c r="O7" s="25" t="s">
        <v>100</v>
      </c>
      <c r="P7" s="25" t="s">
        <v>208</v>
      </c>
      <c r="Q7" s="25" t="s">
        <v>226</v>
      </c>
      <c r="R7" s="25" t="s">
        <v>142</v>
      </c>
      <c r="S7" s="25" t="s">
        <v>227</v>
      </c>
      <c r="T7" s="25" t="s">
        <v>205</v>
      </c>
      <c r="U7" s="25" t="s">
        <v>68</v>
      </c>
      <c r="V7" s="25" t="s">
        <v>68</v>
      </c>
      <c r="W7" s="25" t="s">
        <v>92</v>
      </c>
      <c r="X7" s="25" t="n">
        <v>3</v>
      </c>
      <c r="Y7" s="27" t="n">
        <v>2200</v>
      </c>
      <c r="Z7" s="25" t="s">
        <v>66</v>
      </c>
      <c r="AA7" s="25" t="s">
        <v>126</v>
      </c>
      <c r="AB7" s="25" t="s">
        <v>97</v>
      </c>
      <c r="AC7" s="28" t="str">
        <f aca="false">IF(OR(A7="",C7="",G7="",H7="",I7="",O7="",R7="",S7="",T7="",U7="",V7="",W7=""),"BLOCKING",IF(AND(I7="FCL",OR(J7="",K7&lt;=0)),"BLOCKING",IF(AND(I7="LCL",OR(L7&lt;=0,M7&lt;=0,N7&lt;=0)),"BLOCKING",IF(AND(E7&lt;&gt;"",C7&gt;E7),"BLOCKING",IF(AE7&lt;&gt;"DIRECT","WARNING","OK")))))</f>
        <v>WARNING</v>
      </c>
      <c r="AD7" s="29" t="str">
        <f aca="false">IF(AC7="BLOCKING","필수값·물량·날짜 순서를 확인하세요.",IF(AE7="NO_CONTROL","수출자가 부킹을 통제하지 않아 직접 부킹 권고를 제한합니다.",IF(AE7="UNSUPPORTED","KCCI 직접 비교 범위 밖입니다. 예산·복수견적·마감 관리는 가능합니다.","검증 통과")))</f>
        <v>KCCI 직접 비교 범위 밖입니다. 예산·복수견적·마감 관리는 가능합니다.</v>
      </c>
      <c r="AE7" s="28" t="str">
        <f aca="false">IF(V7&lt;&gt;"SELLER","NO_CONTROL",IF(AND(G7="KRPUS",I7="FCL",OR(J7="40GP",J7="40HC"),O7="DRY",AF7&lt;&gt;""),"DIRECT","UNSUPPORTED"))</f>
        <v>UNSUPPORTED</v>
      </c>
      <c r="AF7" s="28" t="str">
        <f aca="false">IFERROR(VLOOKUP(H7,코드표!$H$2:$I$13,2,FALSE()),"")</f>
        <v>KUWI</v>
      </c>
      <c r="AG7" s="8" t="s">
        <v>228</v>
      </c>
    </row>
    <row r="8" customFormat="false" ht="15" hidden="false" customHeight="false" outlineLevel="0" collapsed="false">
      <c r="A8" s="25" t="s">
        <v>229</v>
      </c>
      <c r="B8" s="25" t="s">
        <v>64</v>
      </c>
      <c r="C8" s="26" t="n">
        <v>46227</v>
      </c>
      <c r="D8" s="26" t="n">
        <v>46233</v>
      </c>
      <c r="E8" s="26" t="n">
        <v>46239</v>
      </c>
      <c r="F8" s="26" t="n">
        <v>46280</v>
      </c>
      <c r="G8" s="25" t="s">
        <v>67</v>
      </c>
      <c r="H8" s="25" t="s">
        <v>113</v>
      </c>
      <c r="I8" s="25" t="s">
        <v>101</v>
      </c>
      <c r="J8" s="25" t="s">
        <v>112</v>
      </c>
      <c r="K8" s="25" t="n">
        <v>1</v>
      </c>
      <c r="L8" s="25"/>
      <c r="M8" s="25" t="n">
        <v>16000</v>
      </c>
      <c r="N8" s="25"/>
      <c r="O8" s="25" t="s">
        <v>100</v>
      </c>
      <c r="P8" s="25" t="s">
        <v>202</v>
      </c>
      <c r="Q8" s="25" t="s">
        <v>230</v>
      </c>
      <c r="R8" s="25" t="s">
        <v>120</v>
      </c>
      <c r="S8" s="25" t="s">
        <v>231</v>
      </c>
      <c r="T8" s="25" t="s">
        <v>205</v>
      </c>
      <c r="U8" s="25" t="s">
        <v>89</v>
      </c>
      <c r="V8" s="25" t="s">
        <v>89</v>
      </c>
      <c r="W8" s="25" t="s">
        <v>97</v>
      </c>
      <c r="X8" s="25" t="n">
        <v>1</v>
      </c>
      <c r="Y8" s="27" t="n">
        <v>900</v>
      </c>
      <c r="Z8" s="25" t="s">
        <v>66</v>
      </c>
      <c r="AA8" s="25" t="s">
        <v>118</v>
      </c>
      <c r="AB8" s="25" t="s">
        <v>97</v>
      </c>
      <c r="AC8" s="28" t="str">
        <f aca="false">IF(OR(A8="",C8="",G8="",H8="",I8="",O8="",R8="",S8="",T8="",U8="",V8="",W8=""),"BLOCKING",IF(AND(I8="FCL",OR(J8="",K8&lt;=0)),"BLOCKING",IF(AND(I8="LCL",OR(L8&lt;=0,M8&lt;=0,N8&lt;=0)),"BLOCKING",IF(AND(E8&lt;&gt;"",C8&gt;E8),"BLOCKING",IF(AE8&lt;&gt;"DIRECT","WARNING","OK")))))</f>
        <v>WARNING</v>
      </c>
      <c r="AD8" s="29" t="str">
        <f aca="false">IF(AC8="BLOCKING","필수값·물량·날짜 순서를 확인하세요.",IF(AE8="NO_CONTROL","수출자가 부킹을 통제하지 않아 직접 부킹 권고를 제한합니다.",IF(AE8="UNSUPPORTED","KCCI 직접 비교 범위 밖입니다. 예산·복수견적·마감 관리는 가능합니다.","검증 통과")))</f>
        <v>수출자가 부킹을 통제하지 않아 직접 부킹 권고를 제한합니다.</v>
      </c>
      <c r="AE8" s="28" t="str">
        <f aca="false">IF(V8&lt;&gt;"SELLER","NO_CONTROL",IF(AND(G8="KRPUS",I8="FCL",OR(J8="40GP",J8="40HC"),O8="DRY",AF8&lt;&gt;""),"DIRECT","UNSUPPORTED"))</f>
        <v>NO_CONTROL</v>
      </c>
      <c r="AF8" s="28" t="str">
        <f aca="false">IFERROR(VLOOKUP(H8,코드표!$H$2:$I$13,2,FALSE()),"")</f>
        <v>KUEI</v>
      </c>
      <c r="AG8" s="7" t="s">
        <v>232</v>
      </c>
    </row>
    <row r="9" customFormat="false" ht="15" hidden="false" customHeight="false" outlineLevel="0" collapsed="false">
      <c r="A9" s="25" t="s">
        <v>233</v>
      </c>
      <c r="B9" s="25" t="s">
        <v>64</v>
      </c>
      <c r="C9" s="26" t="n">
        <v>46228</v>
      </c>
      <c r="D9" s="26" t="n">
        <v>46232</v>
      </c>
      <c r="E9" s="26" t="n">
        <v>46237</v>
      </c>
      <c r="F9" s="26" t="n">
        <v>46275</v>
      </c>
      <c r="G9" s="25" t="s">
        <v>67</v>
      </c>
      <c r="H9" s="25" t="s">
        <v>152</v>
      </c>
      <c r="I9" s="25" t="s">
        <v>101</v>
      </c>
      <c r="J9" s="25" t="s">
        <v>112</v>
      </c>
      <c r="K9" s="25" t="n">
        <v>1</v>
      </c>
      <c r="L9" s="25"/>
      <c r="M9" s="25" t="n">
        <v>16900</v>
      </c>
      <c r="N9" s="25"/>
      <c r="O9" s="25" t="s">
        <v>100</v>
      </c>
      <c r="P9" s="25" t="s">
        <v>208</v>
      </c>
      <c r="Q9" s="25" t="s">
        <v>234</v>
      </c>
      <c r="R9" s="25" t="s">
        <v>156</v>
      </c>
      <c r="S9" s="25" t="s">
        <v>235</v>
      </c>
      <c r="T9" s="25" t="s">
        <v>205</v>
      </c>
      <c r="U9" s="25" t="s">
        <v>68</v>
      </c>
      <c r="V9" s="25" t="s">
        <v>68</v>
      </c>
      <c r="W9" s="25" t="s">
        <v>97</v>
      </c>
      <c r="X9" s="25" t="n">
        <v>1</v>
      </c>
      <c r="Y9" s="27" t="n">
        <v>8200</v>
      </c>
      <c r="Z9" s="25" t="s">
        <v>66</v>
      </c>
      <c r="AA9" s="25" t="s">
        <v>141</v>
      </c>
      <c r="AB9" s="25" t="s">
        <v>97</v>
      </c>
      <c r="AC9" s="28" t="str">
        <f aca="false">IF(OR(A9="",C9="",G9="",H9="",I9="",O9="",R9="",S9="",T9="",U9="",V9="",W9=""),"BLOCKING",IF(AND(I9="FCL",OR(J9="",K9&lt;=0)),"BLOCKING",IF(AND(I9="LCL",OR(L9&lt;=0,M9&lt;=0,N9&lt;=0)),"BLOCKING",IF(AND(E9&lt;&gt;"",C9&gt;E9),"BLOCKING",IF(AE9&lt;&gt;"DIRECT","WARNING","OK")))))</f>
        <v>OK</v>
      </c>
      <c r="AD9" s="29" t="str">
        <f aca="false">IF(AC9="BLOCKING","필수값·물량·날짜 순서를 확인하세요.",IF(AE9="NO_CONTROL","수출자가 부킹을 통제하지 않아 직접 부킹 권고를 제한합니다.",IF(AE9="UNSUPPORTED","KCCI 직접 비교 범위 밖입니다. 예산·복수견적·마감 관리는 가능합니다.","검증 통과")))</f>
        <v>검증 통과</v>
      </c>
      <c r="AE9" s="28" t="str">
        <f aca="false">IF(V9&lt;&gt;"SELLER","NO_CONTROL",IF(AND(G9="KRPUS",I9="FCL",OR(J9="40GP",J9="40HC"),O9="DRY",AF9&lt;&gt;""),"DIRECT","UNSUPPORTED"))</f>
        <v>DIRECT</v>
      </c>
      <c r="AF9" s="28" t="str">
        <f aca="false">IFERROR(VLOOKUP(H9,코드표!$H$2:$I$13,2,FALSE()),"")</f>
        <v>KMEI</v>
      </c>
      <c r="AG9" s="8" t="s">
        <v>236</v>
      </c>
    </row>
  </sheetData>
  <conditionalFormatting sqref="AC2:AC9">
    <cfRule type="containsText" priority="2" operator="containsText" aboveAverage="0" equalAverage="0" bottom="0" percent="0" rank="0" text="BLOCKING" dxfId="8">
      <formula>NOT(ISERROR(SEARCH("BLOCKING",AC2)))</formula>
    </cfRule>
    <cfRule type="containsText" priority="3" operator="containsText" aboveAverage="0" equalAverage="0" bottom="0" percent="0" rank="0" text="WARNING" dxfId="9">
      <formula>NOT(ISERROR(SEARCH("WARNING",AC2)))</formula>
    </cfRule>
    <cfRule type="containsText" priority="4" operator="containsText" aboveAverage="0" equalAverage="0" bottom="0" percent="0" rank="0" text="OK" dxfId="10">
      <formula>NOT(ISERROR(SEARCH("OK",AC2)))</formula>
    </cfRule>
  </conditionalFormatting>
  <dataValidations count="8">
    <dataValidation allowBlank="false" errorStyle="stop" operator="between" showDropDown="false" showErrorMessage="false" showInputMessage="false" sqref="I2:I9" type="list">
      <formula1>"FCL,LCL"</formula1>
      <formula2>0</formula2>
    </dataValidation>
    <dataValidation allowBlank="false" errorStyle="stop" operator="between" showDropDown="false" showErrorMessage="false" showInputMessage="false" sqref="J2:J9" type="list">
      <formula1>"20GP,40GP,40HC,20RF,40RF,LCL,OOG,OTHER"</formula1>
      <formula2>0</formula2>
    </dataValidation>
    <dataValidation allowBlank="false" errorStyle="stop" operator="between" showDropDown="false" showErrorMessage="false" showInputMessage="false" sqref="O2:O9" type="list">
      <formula1>"DRY,REEFER,DG,OOG"</formula1>
      <formula2>0</formula2>
    </dataValidation>
    <dataValidation allowBlank="false" errorStyle="stop" operator="between" showDropDown="false" showErrorMessage="false" showInputMessage="false" sqref="R2:R9" type="list">
      <formula1>"EXW,FCA,FAS,FOB,CFR,CIF,CPT,CIP,DAP,DPU,DDP"</formula1>
      <formula2>0</formula2>
    </dataValidation>
    <dataValidation allowBlank="false" errorStyle="stop" operator="between" showDropDown="false" showErrorMessage="false" showInputMessage="false" sqref="U2:V9" type="list">
      <formula1>"SELLER,BUYER,UNKNOWN"</formula1>
      <formula2>0</formula2>
    </dataValidation>
    <dataValidation allowBlank="false" errorStyle="stop" operator="between" showDropDown="false" showErrorMessage="false" showInputMessage="false" sqref="W2:W9" type="list">
      <formula1>"Y,N"</formula1>
      <formula2>0</formula2>
    </dataValidation>
    <dataValidation allowBlank="false" errorStyle="stop" operator="between" showDropDown="false" showErrorMessage="false" showInputMessage="false" sqref="AA2:AA9" type="list">
      <formula1>"OCEAN_COMPARABLE,OCEAN_ALL_IN,ORIGIN_ONLY,ORIGIN_ALL_IN,DOOR_TO_PORT,DOOR_TO_DOOR"</formula1>
      <formula2>0</formula2>
    </dataValidation>
    <dataValidation allowBlank="false" errorStyle="stop" operator="between" showDropDown="false" showErrorMessage="false" showInputMessage="false" sqref="AB2:AB9" type="list">
      <formula1>"Y,N"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1.48"/>
    <col collapsed="false" customWidth="true" hidden="false" outlineLevel="0" max="2" min="2" style="0" width="11.94"/>
    <col collapsed="false" customWidth="true" hidden="false" outlineLevel="0" max="3" min="3" style="0" width="21.48"/>
    <col collapsed="false" customWidth="true" hidden="false" outlineLevel="0" max="4" min="4" style="0" width="17.9"/>
    <col collapsed="false" customWidth="true" hidden="false" outlineLevel="0" max="5" min="5" style="0" width="33.42"/>
    <col collapsed="false" customWidth="true" hidden="false" outlineLevel="0" max="6" min="6" style="0" width="28.65"/>
    <col collapsed="false" customWidth="true" hidden="false" outlineLevel="0" max="7" min="7" style="0" width="17.9"/>
    <col collapsed="false" customWidth="true" hidden="false" outlineLevel="0" max="8" min="8" style="0" width="14.33"/>
    <col collapsed="false" customWidth="true" hidden="false" outlineLevel="0" max="9" min="9" style="0" width="23.87"/>
    <col collapsed="false" customWidth="true" hidden="false" outlineLevel="0" max="10" min="10" style="0" width="16.71"/>
    <col collapsed="false" customWidth="true" hidden="false" outlineLevel="0" max="11" min="11" style="0" width="21.48"/>
    <col collapsed="false" customWidth="true" hidden="false" outlineLevel="0" max="12" min="12" style="0" width="26.26"/>
    <col collapsed="false" customWidth="true" hidden="false" outlineLevel="0" max="13" min="13" style="0" width="19.1"/>
    <col collapsed="false" customWidth="true" hidden="false" outlineLevel="0" max="14" min="14" style="0" width="38.19"/>
    <col collapsed="false" customWidth="true" hidden="false" outlineLevel="0" max="15" min="15" style="0" width="21.48"/>
  </cols>
  <sheetData>
    <row r="1" customFormat="false" ht="15" hidden="false" customHeight="false" outlineLevel="0" collapsed="false">
      <c r="A1" s="13" t="s">
        <v>237</v>
      </c>
      <c r="B1" s="9" t="s">
        <v>238</v>
      </c>
      <c r="C1" s="9" t="s">
        <v>50</v>
      </c>
      <c r="D1" s="9" t="s">
        <v>239</v>
      </c>
      <c r="E1" s="9" t="s">
        <v>240</v>
      </c>
      <c r="F1" s="9" t="s">
        <v>241</v>
      </c>
      <c r="G1" s="9" t="s">
        <v>242</v>
      </c>
      <c r="H1" s="9" t="s">
        <v>243</v>
      </c>
      <c r="I1" s="9" t="s">
        <v>244</v>
      </c>
      <c r="J1" s="9" t="s">
        <v>245</v>
      </c>
      <c r="K1" s="9" t="s">
        <v>246</v>
      </c>
      <c r="L1" s="9" t="s">
        <v>247</v>
      </c>
      <c r="M1" s="9" t="s">
        <v>248</v>
      </c>
      <c r="N1" s="9" t="s">
        <v>62</v>
      </c>
      <c r="O1" s="14" t="s">
        <v>197</v>
      </c>
    </row>
    <row r="2" customFormat="false" ht="15" hidden="false" customHeight="false" outlineLevel="0" collapsed="false">
      <c r="A2" s="15" t="s">
        <v>249</v>
      </c>
      <c r="B2" s="15" t="n">
        <v>1</v>
      </c>
      <c r="C2" s="15" t="s">
        <v>64</v>
      </c>
      <c r="D2" s="15" t="s">
        <v>250</v>
      </c>
      <c r="E2" s="15" t="s">
        <v>251</v>
      </c>
      <c r="F2" s="15" t="s">
        <v>96</v>
      </c>
      <c r="G2" s="22" t="n">
        <v>6200</v>
      </c>
      <c r="H2" s="15" t="s">
        <v>66</v>
      </c>
      <c r="I2" s="15" t="s">
        <v>117</v>
      </c>
      <c r="J2" s="22" t="n">
        <v>2</v>
      </c>
      <c r="K2" s="15" t="s">
        <v>252</v>
      </c>
      <c r="L2" s="15" t="s">
        <v>97</v>
      </c>
      <c r="M2" s="30" t="n">
        <f aca="false">G2*J2</f>
        <v>12400</v>
      </c>
      <c r="N2" s="20"/>
      <c r="O2" s="23" t="str">
        <f aca="false">IF(OR(A2="",D2="",F2="",G2="",H2="",I2="",J2="",K2="",L2=""),"BLOCKING",IF(OR(G2&lt;0,J2&lt;=0),"BLOCKING","OK"))</f>
        <v>OK</v>
      </c>
    </row>
    <row r="3" customFormat="false" ht="15" hidden="false" customHeight="false" outlineLevel="0" collapsed="false">
      <c r="A3" s="25" t="s">
        <v>249</v>
      </c>
      <c r="B3" s="25" t="n">
        <v>2</v>
      </c>
      <c r="C3" s="25" t="s">
        <v>64</v>
      </c>
      <c r="D3" s="25" t="s">
        <v>253</v>
      </c>
      <c r="E3" s="25" t="s">
        <v>254</v>
      </c>
      <c r="F3" s="25" t="s">
        <v>105</v>
      </c>
      <c r="G3" s="27" t="n">
        <v>420</v>
      </c>
      <c r="H3" s="25" t="s">
        <v>66</v>
      </c>
      <c r="I3" s="25" t="s">
        <v>117</v>
      </c>
      <c r="J3" s="27" t="n">
        <v>2</v>
      </c>
      <c r="K3" s="25" t="s">
        <v>252</v>
      </c>
      <c r="L3" s="25" t="s">
        <v>97</v>
      </c>
      <c r="M3" s="31" t="n">
        <f aca="false">G3*J3</f>
        <v>840</v>
      </c>
      <c r="N3" s="12"/>
      <c r="O3" s="28" t="str">
        <f aca="false">IF(OR(A3="",D3="",F3="",G3="",H3="",I3="",J3="",K3="",L3=""),"BLOCKING",IF(OR(G3&lt;0,J3&lt;=0),"BLOCKING","OK"))</f>
        <v>OK</v>
      </c>
    </row>
    <row r="4" customFormat="false" ht="15" hidden="false" customHeight="false" outlineLevel="0" collapsed="false">
      <c r="A4" s="25" t="s">
        <v>249</v>
      </c>
      <c r="B4" s="25" t="n">
        <v>3</v>
      </c>
      <c r="C4" s="25" t="s">
        <v>64</v>
      </c>
      <c r="D4" s="25" t="s">
        <v>255</v>
      </c>
      <c r="E4" s="25" t="s">
        <v>256</v>
      </c>
      <c r="F4" s="25" t="s">
        <v>105</v>
      </c>
      <c r="G4" s="27" t="n">
        <v>110</v>
      </c>
      <c r="H4" s="25" t="s">
        <v>66</v>
      </c>
      <c r="I4" s="25" t="s">
        <v>117</v>
      </c>
      <c r="J4" s="27" t="n">
        <v>2</v>
      </c>
      <c r="K4" s="25" t="s">
        <v>252</v>
      </c>
      <c r="L4" s="25" t="s">
        <v>97</v>
      </c>
      <c r="M4" s="31" t="n">
        <f aca="false">G4*J4</f>
        <v>220</v>
      </c>
      <c r="N4" s="12"/>
      <c r="O4" s="28" t="str">
        <f aca="false">IF(OR(A4="",D4="",F4="",G4="",H4="",I4="",J4="",K4="",L4=""),"BLOCKING",IF(OR(G4&lt;0,J4&lt;=0),"BLOCKING","OK"))</f>
        <v>OK</v>
      </c>
    </row>
    <row r="5" customFormat="false" ht="15" hidden="false" customHeight="false" outlineLevel="0" collapsed="false">
      <c r="A5" s="25" t="s">
        <v>249</v>
      </c>
      <c r="B5" s="25" t="n">
        <v>4</v>
      </c>
      <c r="C5" s="25" t="s">
        <v>64</v>
      </c>
      <c r="D5" s="25" t="s">
        <v>257</v>
      </c>
      <c r="E5" s="25" t="s">
        <v>258</v>
      </c>
      <c r="F5" s="25" t="s">
        <v>116</v>
      </c>
      <c r="G5" s="27" t="n">
        <v>180</v>
      </c>
      <c r="H5" s="25" t="s">
        <v>66</v>
      </c>
      <c r="I5" s="25" t="s">
        <v>117</v>
      </c>
      <c r="J5" s="27" t="n">
        <v>2</v>
      </c>
      <c r="K5" s="25" t="s">
        <v>252</v>
      </c>
      <c r="L5" s="25" t="s">
        <v>92</v>
      </c>
      <c r="M5" s="31" t="n">
        <f aca="false">G5*J5</f>
        <v>360</v>
      </c>
      <c r="N5" s="12"/>
      <c r="O5" s="28" t="str">
        <f aca="false">IF(OR(A5="",D5="",F5="",G5="",H5="",I5="",J5="",K5="",L5=""),"BLOCKING",IF(OR(G5&lt;0,J5&lt;=0),"BLOCKING","OK"))</f>
        <v>OK</v>
      </c>
    </row>
    <row r="6" customFormat="false" ht="15" hidden="false" customHeight="false" outlineLevel="0" collapsed="false">
      <c r="A6" s="25" t="s">
        <v>249</v>
      </c>
      <c r="B6" s="25" t="n">
        <v>5</v>
      </c>
      <c r="C6" s="25" t="s">
        <v>64</v>
      </c>
      <c r="D6" s="25" t="s">
        <v>259</v>
      </c>
      <c r="E6" s="25" t="s">
        <v>260</v>
      </c>
      <c r="F6" s="25" t="s">
        <v>116</v>
      </c>
      <c r="G6" s="27" t="n">
        <v>80</v>
      </c>
      <c r="H6" s="25" t="s">
        <v>66</v>
      </c>
      <c r="I6" s="25" t="s">
        <v>106</v>
      </c>
      <c r="J6" s="27" t="n">
        <v>1</v>
      </c>
      <c r="K6" s="25" t="s">
        <v>252</v>
      </c>
      <c r="L6" s="25" t="s">
        <v>92</v>
      </c>
      <c r="M6" s="31" t="n">
        <f aca="false">G6*J6</f>
        <v>80</v>
      </c>
      <c r="N6" s="12"/>
      <c r="O6" s="28" t="str">
        <f aca="false">IF(OR(A6="",D6="",F6="",G6="",H6="",I6="",J6="",K6="",L6=""),"BLOCKING",IF(OR(G6&lt;0,J6&lt;=0),"BLOCKING","OK"))</f>
        <v>OK</v>
      </c>
    </row>
    <row r="7" customFormat="false" ht="15" hidden="false" customHeight="false" outlineLevel="0" collapsed="false">
      <c r="A7" s="25" t="s">
        <v>261</v>
      </c>
      <c r="B7" s="25" t="n">
        <v>1</v>
      </c>
      <c r="C7" s="25" t="s">
        <v>64</v>
      </c>
      <c r="D7" s="25" t="s">
        <v>250</v>
      </c>
      <c r="E7" s="25" t="s">
        <v>251</v>
      </c>
      <c r="F7" s="25" t="s">
        <v>96</v>
      </c>
      <c r="G7" s="27" t="n">
        <v>6500</v>
      </c>
      <c r="H7" s="25" t="s">
        <v>66</v>
      </c>
      <c r="I7" s="25" t="s">
        <v>117</v>
      </c>
      <c r="J7" s="27" t="n">
        <v>2</v>
      </c>
      <c r="K7" s="25" t="s">
        <v>252</v>
      </c>
      <c r="L7" s="25" t="s">
        <v>97</v>
      </c>
      <c r="M7" s="31" t="n">
        <f aca="false">G7*J7</f>
        <v>13000</v>
      </c>
      <c r="N7" s="12"/>
      <c r="O7" s="28" t="str">
        <f aca="false">IF(OR(A7="",D7="",F7="",G7="",H7="",I7="",J7="",K7="",L7=""),"BLOCKING",IF(OR(G7&lt;0,J7&lt;=0),"BLOCKING","OK"))</f>
        <v>OK</v>
      </c>
    </row>
    <row r="8" customFormat="false" ht="15" hidden="false" customHeight="false" outlineLevel="0" collapsed="false">
      <c r="A8" s="25" t="s">
        <v>261</v>
      </c>
      <c r="B8" s="25" t="n">
        <v>2</v>
      </c>
      <c r="C8" s="25" t="s">
        <v>64</v>
      </c>
      <c r="D8" s="25" t="s">
        <v>253</v>
      </c>
      <c r="E8" s="25" t="s">
        <v>254</v>
      </c>
      <c r="F8" s="25" t="s">
        <v>105</v>
      </c>
      <c r="G8" s="27" t="n">
        <v>420</v>
      </c>
      <c r="H8" s="25" t="s">
        <v>66</v>
      </c>
      <c r="I8" s="25" t="s">
        <v>117</v>
      </c>
      <c r="J8" s="27" t="n">
        <v>2</v>
      </c>
      <c r="K8" s="25" t="s">
        <v>252</v>
      </c>
      <c r="L8" s="25" t="s">
        <v>97</v>
      </c>
      <c r="M8" s="31" t="n">
        <f aca="false">G8*J8</f>
        <v>840</v>
      </c>
      <c r="N8" s="12"/>
      <c r="O8" s="28" t="str">
        <f aca="false">IF(OR(A8="",D8="",F8="",G8="",H8="",I8="",J8="",K8="",L8=""),"BLOCKING",IF(OR(G8&lt;0,J8&lt;=0),"BLOCKING","OK"))</f>
        <v>OK</v>
      </c>
    </row>
    <row r="9" customFormat="false" ht="15" hidden="false" customHeight="false" outlineLevel="0" collapsed="false">
      <c r="A9" s="25" t="s">
        <v>261</v>
      </c>
      <c r="B9" s="25" t="n">
        <v>3</v>
      </c>
      <c r="C9" s="25" t="s">
        <v>64</v>
      </c>
      <c r="D9" s="25" t="s">
        <v>255</v>
      </c>
      <c r="E9" s="25" t="s">
        <v>256</v>
      </c>
      <c r="F9" s="25" t="s">
        <v>105</v>
      </c>
      <c r="G9" s="27" t="n">
        <v>110</v>
      </c>
      <c r="H9" s="25" t="s">
        <v>66</v>
      </c>
      <c r="I9" s="25" t="s">
        <v>117</v>
      </c>
      <c r="J9" s="27" t="n">
        <v>2</v>
      </c>
      <c r="K9" s="25" t="s">
        <v>252</v>
      </c>
      <c r="L9" s="25" t="s">
        <v>97</v>
      </c>
      <c r="M9" s="31" t="n">
        <f aca="false">G9*J9</f>
        <v>220</v>
      </c>
      <c r="N9" s="12"/>
      <c r="O9" s="28" t="str">
        <f aca="false">IF(OR(A9="",D9="",F9="",G9="",H9="",I9="",J9="",K9="",L9=""),"BLOCKING",IF(OR(G9&lt;0,J9&lt;=0),"BLOCKING","OK"))</f>
        <v>OK</v>
      </c>
    </row>
    <row r="10" customFormat="false" ht="15" hidden="false" customHeight="false" outlineLevel="0" collapsed="false">
      <c r="A10" s="25" t="s">
        <v>261</v>
      </c>
      <c r="B10" s="25" t="n">
        <v>4</v>
      </c>
      <c r="C10" s="25" t="s">
        <v>64</v>
      </c>
      <c r="D10" s="25" t="s">
        <v>257</v>
      </c>
      <c r="E10" s="25" t="s">
        <v>258</v>
      </c>
      <c r="F10" s="25" t="s">
        <v>116</v>
      </c>
      <c r="G10" s="27" t="n">
        <v>170</v>
      </c>
      <c r="H10" s="25" t="s">
        <v>66</v>
      </c>
      <c r="I10" s="25" t="s">
        <v>117</v>
      </c>
      <c r="J10" s="27" t="n">
        <v>2</v>
      </c>
      <c r="K10" s="25" t="s">
        <v>252</v>
      </c>
      <c r="L10" s="25" t="s">
        <v>92</v>
      </c>
      <c r="M10" s="31" t="n">
        <f aca="false">G10*J10</f>
        <v>340</v>
      </c>
      <c r="N10" s="12"/>
      <c r="O10" s="28" t="str">
        <f aca="false">IF(OR(A10="",D10="",F10="",G10="",H10="",I10="",J10="",K10="",L10=""),"BLOCKING",IF(OR(G10&lt;0,J10&lt;=0),"BLOCKING","OK"))</f>
        <v>OK</v>
      </c>
    </row>
    <row r="11" customFormat="false" ht="15" hidden="false" customHeight="false" outlineLevel="0" collapsed="false">
      <c r="A11" s="25" t="s">
        <v>261</v>
      </c>
      <c r="B11" s="25" t="n">
        <v>5</v>
      </c>
      <c r="C11" s="25" t="s">
        <v>64</v>
      </c>
      <c r="D11" s="25" t="s">
        <v>259</v>
      </c>
      <c r="E11" s="25" t="s">
        <v>260</v>
      </c>
      <c r="F11" s="25" t="s">
        <v>116</v>
      </c>
      <c r="G11" s="27" t="n">
        <v>70</v>
      </c>
      <c r="H11" s="25" t="s">
        <v>66</v>
      </c>
      <c r="I11" s="25" t="s">
        <v>106</v>
      </c>
      <c r="J11" s="27" t="n">
        <v>1</v>
      </c>
      <c r="K11" s="25" t="s">
        <v>252</v>
      </c>
      <c r="L11" s="25" t="s">
        <v>92</v>
      </c>
      <c r="M11" s="31" t="n">
        <f aca="false">G11*J11</f>
        <v>70</v>
      </c>
      <c r="N11" s="12"/>
      <c r="O11" s="28" t="str">
        <f aca="false">IF(OR(A11="",D11="",F11="",G11="",H11="",I11="",J11="",K11="",L11=""),"BLOCKING",IF(OR(G11&lt;0,J11&lt;=0),"BLOCKING","OK"))</f>
        <v>OK</v>
      </c>
    </row>
    <row r="12" customFormat="false" ht="15" hidden="false" customHeight="false" outlineLevel="0" collapsed="false">
      <c r="A12" s="25" t="s">
        <v>262</v>
      </c>
      <c r="B12" s="25" t="n">
        <v>1</v>
      </c>
      <c r="C12" s="25" t="s">
        <v>64</v>
      </c>
      <c r="D12" s="25" t="s">
        <v>250</v>
      </c>
      <c r="E12" s="25" t="s">
        <v>251</v>
      </c>
      <c r="F12" s="25" t="s">
        <v>96</v>
      </c>
      <c r="G12" s="27" t="n">
        <v>4800</v>
      </c>
      <c r="H12" s="25" t="s">
        <v>66</v>
      </c>
      <c r="I12" s="25" t="s">
        <v>117</v>
      </c>
      <c r="J12" s="27" t="n">
        <v>1</v>
      </c>
      <c r="K12" s="25" t="s">
        <v>252</v>
      </c>
      <c r="L12" s="25" t="s">
        <v>97</v>
      </c>
      <c r="M12" s="31" t="n">
        <f aca="false">G12*J12</f>
        <v>4800</v>
      </c>
      <c r="N12" s="12"/>
      <c r="O12" s="28" t="str">
        <f aca="false">IF(OR(A12="",D12="",F12="",G12="",H12="",I12="",J12="",K12="",L12=""),"BLOCKING",IF(OR(G12&lt;0,J12&lt;=0),"BLOCKING","OK"))</f>
        <v>OK</v>
      </c>
    </row>
    <row r="13" customFormat="false" ht="15" hidden="false" customHeight="false" outlineLevel="0" collapsed="false">
      <c r="A13" s="25" t="s">
        <v>262</v>
      </c>
      <c r="B13" s="25" t="n">
        <v>2</v>
      </c>
      <c r="C13" s="25" t="s">
        <v>64</v>
      </c>
      <c r="D13" s="25" t="s">
        <v>253</v>
      </c>
      <c r="E13" s="25" t="s">
        <v>254</v>
      </c>
      <c r="F13" s="25" t="s">
        <v>105</v>
      </c>
      <c r="G13" s="27" t="n">
        <v>350</v>
      </c>
      <c r="H13" s="25" t="s">
        <v>66</v>
      </c>
      <c r="I13" s="25" t="s">
        <v>117</v>
      </c>
      <c r="J13" s="27" t="n">
        <v>1</v>
      </c>
      <c r="K13" s="25" t="s">
        <v>252</v>
      </c>
      <c r="L13" s="25" t="s">
        <v>97</v>
      </c>
      <c r="M13" s="31" t="n">
        <f aca="false">G13*J13</f>
        <v>350</v>
      </c>
      <c r="N13" s="12"/>
      <c r="O13" s="28" t="str">
        <f aca="false">IF(OR(A13="",D13="",F13="",G13="",H13="",I13="",J13="",K13="",L13=""),"BLOCKING",IF(OR(G13&lt;0,J13&lt;=0),"BLOCKING","OK"))</f>
        <v>OK</v>
      </c>
    </row>
    <row r="14" customFormat="false" ht="15" hidden="false" customHeight="false" outlineLevel="0" collapsed="false">
      <c r="A14" s="25" t="s">
        <v>262</v>
      </c>
      <c r="B14" s="25" t="n">
        <v>3</v>
      </c>
      <c r="C14" s="25" t="s">
        <v>64</v>
      </c>
      <c r="D14" s="25" t="s">
        <v>255</v>
      </c>
      <c r="E14" s="25" t="s">
        <v>256</v>
      </c>
      <c r="F14" s="25" t="s">
        <v>105</v>
      </c>
      <c r="G14" s="27" t="n">
        <v>100</v>
      </c>
      <c r="H14" s="25" t="s">
        <v>66</v>
      </c>
      <c r="I14" s="25" t="s">
        <v>117</v>
      </c>
      <c r="J14" s="27" t="n">
        <v>1</v>
      </c>
      <c r="K14" s="25" t="s">
        <v>252</v>
      </c>
      <c r="L14" s="25" t="s">
        <v>97</v>
      </c>
      <c r="M14" s="31" t="n">
        <f aca="false">G14*J14</f>
        <v>100</v>
      </c>
      <c r="N14" s="12"/>
      <c r="O14" s="28" t="str">
        <f aca="false">IF(OR(A14="",D14="",F14="",G14="",H14="",I14="",J14="",K14="",L14=""),"BLOCKING",IF(OR(G14&lt;0,J14&lt;=0),"BLOCKING","OK"))</f>
        <v>OK</v>
      </c>
    </row>
    <row r="15" customFormat="false" ht="15" hidden="false" customHeight="false" outlineLevel="0" collapsed="false">
      <c r="A15" s="25" t="s">
        <v>262</v>
      </c>
      <c r="B15" s="25" t="n">
        <v>4</v>
      </c>
      <c r="C15" s="25" t="s">
        <v>64</v>
      </c>
      <c r="D15" s="25" t="s">
        <v>257</v>
      </c>
      <c r="E15" s="25" t="s">
        <v>258</v>
      </c>
      <c r="F15" s="25" t="s">
        <v>116</v>
      </c>
      <c r="G15" s="27" t="n">
        <v>180</v>
      </c>
      <c r="H15" s="25" t="s">
        <v>66</v>
      </c>
      <c r="I15" s="25" t="s">
        <v>117</v>
      </c>
      <c r="J15" s="27" t="n">
        <v>1</v>
      </c>
      <c r="K15" s="25" t="s">
        <v>252</v>
      </c>
      <c r="L15" s="25" t="s">
        <v>92</v>
      </c>
      <c r="M15" s="31" t="n">
        <f aca="false">G15*J15</f>
        <v>180</v>
      </c>
      <c r="N15" s="12"/>
      <c r="O15" s="28" t="str">
        <f aca="false">IF(OR(A15="",D15="",F15="",G15="",H15="",I15="",J15="",K15="",L15=""),"BLOCKING",IF(OR(G15&lt;0,J15&lt;=0),"BLOCKING","OK"))</f>
        <v>OK</v>
      </c>
    </row>
    <row r="16" customFormat="false" ht="15" hidden="false" customHeight="false" outlineLevel="0" collapsed="false">
      <c r="A16" s="25" t="s">
        <v>262</v>
      </c>
      <c r="B16" s="25" t="n">
        <v>5</v>
      </c>
      <c r="C16" s="25" t="s">
        <v>64</v>
      </c>
      <c r="D16" s="25" t="s">
        <v>259</v>
      </c>
      <c r="E16" s="25" t="s">
        <v>260</v>
      </c>
      <c r="F16" s="25" t="s">
        <v>116</v>
      </c>
      <c r="G16" s="27" t="n">
        <v>80</v>
      </c>
      <c r="H16" s="25" t="s">
        <v>66</v>
      </c>
      <c r="I16" s="25" t="s">
        <v>106</v>
      </c>
      <c r="J16" s="27" t="n">
        <v>1</v>
      </c>
      <c r="K16" s="25" t="s">
        <v>252</v>
      </c>
      <c r="L16" s="25" t="s">
        <v>92</v>
      </c>
      <c r="M16" s="31" t="n">
        <f aca="false">G16*J16</f>
        <v>80</v>
      </c>
      <c r="N16" s="12"/>
      <c r="O16" s="28" t="str">
        <f aca="false">IF(OR(A16="",D16="",F16="",G16="",H16="",I16="",J16="",K16="",L16=""),"BLOCKING",IF(OR(G16&lt;0,J16&lt;=0),"BLOCKING","OK"))</f>
        <v>OK</v>
      </c>
    </row>
    <row r="17" customFormat="false" ht="15" hidden="false" customHeight="false" outlineLevel="0" collapsed="false">
      <c r="A17" s="25" t="s">
        <v>262</v>
      </c>
      <c r="B17" s="25" t="n">
        <v>6</v>
      </c>
      <c r="C17" s="25" t="s">
        <v>64</v>
      </c>
      <c r="D17" s="25" t="s">
        <v>263</v>
      </c>
      <c r="E17" s="25" t="s">
        <v>264</v>
      </c>
      <c r="F17" s="25" t="s">
        <v>147</v>
      </c>
      <c r="G17" s="27" t="n">
        <v>75</v>
      </c>
      <c r="H17" s="25" t="s">
        <v>66</v>
      </c>
      <c r="I17" s="25" t="s">
        <v>98</v>
      </c>
      <c r="J17" s="27" t="n">
        <v>1</v>
      </c>
      <c r="K17" s="25" t="s">
        <v>252</v>
      </c>
      <c r="L17" s="25" t="s">
        <v>92</v>
      </c>
      <c r="M17" s="31" t="n">
        <f aca="false">G17*J17</f>
        <v>75</v>
      </c>
      <c r="N17" s="12"/>
      <c r="O17" s="28" t="str">
        <f aca="false">IF(OR(A17="",D17="",F17="",G17="",H17="",I17="",J17="",K17="",L17=""),"BLOCKING",IF(OR(G17&lt;0,J17&lt;=0),"BLOCKING","OK"))</f>
        <v>OK</v>
      </c>
    </row>
    <row r="18" customFormat="false" ht="15" hidden="false" customHeight="false" outlineLevel="0" collapsed="false">
      <c r="A18" s="25" t="s">
        <v>265</v>
      </c>
      <c r="B18" s="25" t="n">
        <v>1</v>
      </c>
      <c r="C18" s="25" t="s">
        <v>64</v>
      </c>
      <c r="D18" s="25" t="s">
        <v>250</v>
      </c>
      <c r="E18" s="25" t="s">
        <v>251</v>
      </c>
      <c r="F18" s="25" t="s">
        <v>96</v>
      </c>
      <c r="G18" s="27" t="n">
        <v>5000</v>
      </c>
      <c r="H18" s="25" t="s">
        <v>66</v>
      </c>
      <c r="I18" s="25" t="s">
        <v>117</v>
      </c>
      <c r="J18" s="27" t="n">
        <v>1</v>
      </c>
      <c r="K18" s="25" t="s">
        <v>252</v>
      </c>
      <c r="L18" s="25" t="s">
        <v>97</v>
      </c>
      <c r="M18" s="31" t="n">
        <f aca="false">G18*J18</f>
        <v>5000</v>
      </c>
      <c r="N18" s="12"/>
      <c r="O18" s="28" t="str">
        <f aca="false">IF(OR(A18="",D18="",F18="",G18="",H18="",I18="",J18="",K18="",L18=""),"BLOCKING",IF(OR(G18&lt;0,J18&lt;=0),"BLOCKING","OK"))</f>
        <v>OK</v>
      </c>
    </row>
    <row r="19" customFormat="false" ht="15" hidden="false" customHeight="false" outlineLevel="0" collapsed="false">
      <c r="A19" s="25" t="s">
        <v>265</v>
      </c>
      <c r="B19" s="25" t="n">
        <v>2</v>
      </c>
      <c r="C19" s="25" t="s">
        <v>64</v>
      </c>
      <c r="D19" s="25" t="s">
        <v>253</v>
      </c>
      <c r="E19" s="25" t="s">
        <v>254</v>
      </c>
      <c r="F19" s="25" t="s">
        <v>105</v>
      </c>
      <c r="G19" s="27" t="n">
        <v>360</v>
      </c>
      <c r="H19" s="25" t="s">
        <v>66</v>
      </c>
      <c r="I19" s="25" t="s">
        <v>117</v>
      </c>
      <c r="J19" s="27" t="n">
        <v>1</v>
      </c>
      <c r="K19" s="25" t="s">
        <v>252</v>
      </c>
      <c r="L19" s="25" t="s">
        <v>97</v>
      </c>
      <c r="M19" s="31" t="n">
        <f aca="false">G19*J19</f>
        <v>360</v>
      </c>
      <c r="N19" s="12"/>
      <c r="O19" s="28" t="str">
        <f aca="false">IF(OR(A19="",D19="",F19="",G19="",H19="",I19="",J19="",K19="",L19=""),"BLOCKING",IF(OR(G19&lt;0,J19&lt;=0),"BLOCKING","OK"))</f>
        <v>OK</v>
      </c>
    </row>
    <row r="20" customFormat="false" ht="15" hidden="false" customHeight="false" outlineLevel="0" collapsed="false">
      <c r="A20" s="25" t="s">
        <v>265</v>
      </c>
      <c r="B20" s="25" t="n">
        <v>3</v>
      </c>
      <c r="C20" s="25" t="s">
        <v>64</v>
      </c>
      <c r="D20" s="25" t="s">
        <v>255</v>
      </c>
      <c r="E20" s="25" t="s">
        <v>256</v>
      </c>
      <c r="F20" s="25" t="s">
        <v>105</v>
      </c>
      <c r="G20" s="27" t="n">
        <v>110</v>
      </c>
      <c r="H20" s="25" t="s">
        <v>66</v>
      </c>
      <c r="I20" s="25" t="s">
        <v>117</v>
      </c>
      <c r="J20" s="27" t="n">
        <v>1</v>
      </c>
      <c r="K20" s="25" t="s">
        <v>252</v>
      </c>
      <c r="L20" s="25" t="s">
        <v>97</v>
      </c>
      <c r="M20" s="31" t="n">
        <f aca="false">G20*J20</f>
        <v>110</v>
      </c>
      <c r="N20" s="12"/>
      <c r="O20" s="28" t="str">
        <f aca="false">IF(OR(A20="",D20="",F20="",G20="",H20="",I20="",J20="",K20="",L20=""),"BLOCKING",IF(OR(G20&lt;0,J20&lt;=0),"BLOCKING","OK"))</f>
        <v>OK</v>
      </c>
    </row>
    <row r="21" customFormat="false" ht="15" hidden="false" customHeight="false" outlineLevel="0" collapsed="false">
      <c r="A21" s="25" t="s">
        <v>265</v>
      </c>
      <c r="B21" s="25" t="n">
        <v>4</v>
      </c>
      <c r="C21" s="25" t="s">
        <v>64</v>
      </c>
      <c r="D21" s="25" t="s">
        <v>257</v>
      </c>
      <c r="E21" s="25" t="s">
        <v>258</v>
      </c>
      <c r="F21" s="25" t="s">
        <v>116</v>
      </c>
      <c r="G21" s="27" t="n">
        <v>170</v>
      </c>
      <c r="H21" s="25" t="s">
        <v>66</v>
      </c>
      <c r="I21" s="25" t="s">
        <v>117</v>
      </c>
      <c r="J21" s="27" t="n">
        <v>1</v>
      </c>
      <c r="K21" s="25" t="s">
        <v>252</v>
      </c>
      <c r="L21" s="25" t="s">
        <v>92</v>
      </c>
      <c r="M21" s="31" t="n">
        <f aca="false">G21*J21</f>
        <v>170</v>
      </c>
      <c r="N21" s="12"/>
      <c r="O21" s="28" t="str">
        <f aca="false">IF(OR(A21="",D21="",F21="",G21="",H21="",I21="",J21="",K21="",L21=""),"BLOCKING",IF(OR(G21&lt;0,J21&lt;=0),"BLOCKING","OK"))</f>
        <v>OK</v>
      </c>
    </row>
    <row r="22" customFormat="false" ht="15" hidden="false" customHeight="false" outlineLevel="0" collapsed="false">
      <c r="A22" s="25" t="s">
        <v>265</v>
      </c>
      <c r="B22" s="25" t="n">
        <v>5</v>
      </c>
      <c r="C22" s="25" t="s">
        <v>64</v>
      </c>
      <c r="D22" s="25" t="s">
        <v>259</v>
      </c>
      <c r="E22" s="25" t="s">
        <v>260</v>
      </c>
      <c r="F22" s="25" t="s">
        <v>116</v>
      </c>
      <c r="G22" s="27" t="n">
        <v>70</v>
      </c>
      <c r="H22" s="25" t="s">
        <v>66</v>
      </c>
      <c r="I22" s="25" t="s">
        <v>106</v>
      </c>
      <c r="J22" s="27" t="n">
        <v>1</v>
      </c>
      <c r="K22" s="25" t="s">
        <v>252</v>
      </c>
      <c r="L22" s="25" t="s">
        <v>92</v>
      </c>
      <c r="M22" s="31" t="n">
        <f aca="false">G22*J22</f>
        <v>70</v>
      </c>
      <c r="N22" s="12"/>
      <c r="O22" s="28" t="str">
        <f aca="false">IF(OR(A22="",D22="",F22="",G22="",H22="",I22="",J22="",K22="",L22=""),"BLOCKING",IF(OR(G22&lt;0,J22&lt;=0),"BLOCKING","OK"))</f>
        <v>OK</v>
      </c>
    </row>
    <row r="23" customFormat="false" ht="15" hidden="false" customHeight="false" outlineLevel="0" collapsed="false">
      <c r="A23" s="25" t="s">
        <v>265</v>
      </c>
      <c r="B23" s="25" t="n">
        <v>6</v>
      </c>
      <c r="C23" s="25" t="s">
        <v>64</v>
      </c>
      <c r="D23" s="25" t="s">
        <v>263</v>
      </c>
      <c r="E23" s="25" t="s">
        <v>264</v>
      </c>
      <c r="F23" s="25" t="s">
        <v>147</v>
      </c>
      <c r="G23" s="27" t="n">
        <v>80</v>
      </c>
      <c r="H23" s="25" t="s">
        <v>66</v>
      </c>
      <c r="I23" s="25" t="s">
        <v>98</v>
      </c>
      <c r="J23" s="27" t="n">
        <v>1</v>
      </c>
      <c r="K23" s="25" t="s">
        <v>252</v>
      </c>
      <c r="L23" s="25" t="s">
        <v>92</v>
      </c>
      <c r="M23" s="31" t="n">
        <f aca="false">G23*J23</f>
        <v>80</v>
      </c>
      <c r="N23" s="12"/>
      <c r="O23" s="28" t="str">
        <f aca="false">IF(OR(A23="",D23="",F23="",G23="",H23="",I23="",J23="",K23="",L23=""),"BLOCKING",IF(OR(G23&lt;0,J23&lt;=0),"BLOCKING","OK"))</f>
        <v>OK</v>
      </c>
    </row>
    <row r="24" customFormat="false" ht="15" hidden="false" customHeight="false" outlineLevel="0" collapsed="false">
      <c r="A24" s="25" t="s">
        <v>266</v>
      </c>
      <c r="B24" s="25" t="n">
        <v>1</v>
      </c>
      <c r="C24" s="25" t="s">
        <v>64</v>
      </c>
      <c r="D24" s="25" t="s">
        <v>250</v>
      </c>
      <c r="E24" s="25" t="s">
        <v>251</v>
      </c>
      <c r="F24" s="25" t="s">
        <v>96</v>
      </c>
      <c r="G24" s="27" t="n">
        <v>820</v>
      </c>
      <c r="H24" s="25" t="s">
        <v>66</v>
      </c>
      <c r="I24" s="25" t="s">
        <v>117</v>
      </c>
      <c r="J24" s="27" t="n">
        <v>1</v>
      </c>
      <c r="K24" s="25" t="s">
        <v>252</v>
      </c>
      <c r="L24" s="25" t="s">
        <v>97</v>
      </c>
      <c r="M24" s="31" t="n">
        <f aca="false">G24*J24</f>
        <v>820</v>
      </c>
      <c r="N24" s="12"/>
      <c r="O24" s="28" t="str">
        <f aca="false">IF(OR(A24="",D24="",F24="",G24="",H24="",I24="",J24="",K24="",L24=""),"BLOCKING",IF(OR(G24&lt;0,J24&lt;=0),"BLOCKING","OK"))</f>
        <v>OK</v>
      </c>
    </row>
    <row r="25" customFormat="false" ht="15" hidden="false" customHeight="false" outlineLevel="0" collapsed="false">
      <c r="A25" s="25" t="s">
        <v>266</v>
      </c>
      <c r="B25" s="25" t="n">
        <v>2</v>
      </c>
      <c r="C25" s="25" t="s">
        <v>64</v>
      </c>
      <c r="D25" s="25" t="s">
        <v>253</v>
      </c>
      <c r="E25" s="25" t="s">
        <v>254</v>
      </c>
      <c r="F25" s="25" t="s">
        <v>105</v>
      </c>
      <c r="G25" s="27" t="n">
        <v>160</v>
      </c>
      <c r="H25" s="25" t="s">
        <v>66</v>
      </c>
      <c r="I25" s="25" t="s">
        <v>117</v>
      </c>
      <c r="J25" s="27" t="n">
        <v>1</v>
      </c>
      <c r="K25" s="25" t="s">
        <v>252</v>
      </c>
      <c r="L25" s="25" t="s">
        <v>97</v>
      </c>
      <c r="M25" s="31" t="n">
        <f aca="false">G25*J25</f>
        <v>160</v>
      </c>
      <c r="N25" s="12"/>
      <c r="O25" s="28" t="str">
        <f aca="false">IF(OR(A25="",D25="",F25="",G25="",H25="",I25="",J25="",K25="",L25=""),"BLOCKING",IF(OR(G25&lt;0,J25&lt;=0),"BLOCKING","OK"))</f>
        <v>OK</v>
      </c>
    </row>
    <row r="26" customFormat="false" ht="15" hidden="false" customHeight="false" outlineLevel="0" collapsed="false">
      <c r="A26" s="25" t="s">
        <v>266</v>
      </c>
      <c r="B26" s="25" t="n">
        <v>3</v>
      </c>
      <c r="C26" s="25" t="s">
        <v>64</v>
      </c>
      <c r="D26" s="25" t="s">
        <v>255</v>
      </c>
      <c r="E26" s="25" t="s">
        <v>256</v>
      </c>
      <c r="F26" s="25" t="s">
        <v>105</v>
      </c>
      <c r="G26" s="27" t="n">
        <v>40</v>
      </c>
      <c r="H26" s="25" t="s">
        <v>66</v>
      </c>
      <c r="I26" s="25" t="s">
        <v>117</v>
      </c>
      <c r="J26" s="27" t="n">
        <v>1</v>
      </c>
      <c r="K26" s="25" t="s">
        <v>252</v>
      </c>
      <c r="L26" s="25" t="s">
        <v>97</v>
      </c>
      <c r="M26" s="31" t="n">
        <f aca="false">G26*J26</f>
        <v>40</v>
      </c>
      <c r="N26" s="12"/>
      <c r="O26" s="28" t="str">
        <f aca="false">IF(OR(A26="",D26="",F26="",G26="",H26="",I26="",J26="",K26="",L26=""),"BLOCKING",IF(OR(G26&lt;0,J26&lt;=0),"BLOCKING","OK"))</f>
        <v>OK</v>
      </c>
    </row>
    <row r="27" customFormat="false" ht="15" hidden="false" customHeight="false" outlineLevel="0" collapsed="false">
      <c r="A27" s="25" t="s">
        <v>266</v>
      </c>
      <c r="B27" s="25" t="n">
        <v>4</v>
      </c>
      <c r="C27" s="25" t="s">
        <v>64</v>
      </c>
      <c r="D27" s="25" t="s">
        <v>257</v>
      </c>
      <c r="E27" s="25" t="s">
        <v>258</v>
      </c>
      <c r="F27" s="25" t="s">
        <v>116</v>
      </c>
      <c r="G27" s="27" t="n">
        <v>170</v>
      </c>
      <c r="H27" s="25" t="s">
        <v>66</v>
      </c>
      <c r="I27" s="25" t="s">
        <v>117</v>
      </c>
      <c r="J27" s="27" t="n">
        <v>1</v>
      </c>
      <c r="K27" s="25" t="s">
        <v>252</v>
      </c>
      <c r="L27" s="25" t="s">
        <v>92</v>
      </c>
      <c r="M27" s="31" t="n">
        <f aca="false">G27*J27</f>
        <v>170</v>
      </c>
      <c r="N27" s="12"/>
      <c r="O27" s="28" t="str">
        <f aca="false">IF(OR(A27="",D27="",F27="",G27="",H27="",I27="",J27="",K27="",L27=""),"BLOCKING",IF(OR(G27&lt;0,J27&lt;=0),"BLOCKING","OK"))</f>
        <v>OK</v>
      </c>
    </row>
    <row r="28" customFormat="false" ht="15" hidden="false" customHeight="false" outlineLevel="0" collapsed="false">
      <c r="A28" s="25" t="s">
        <v>266</v>
      </c>
      <c r="B28" s="25" t="n">
        <v>5</v>
      </c>
      <c r="C28" s="25" t="s">
        <v>64</v>
      </c>
      <c r="D28" s="25" t="s">
        <v>259</v>
      </c>
      <c r="E28" s="25" t="s">
        <v>260</v>
      </c>
      <c r="F28" s="25" t="s">
        <v>116</v>
      </c>
      <c r="G28" s="27" t="n">
        <v>70</v>
      </c>
      <c r="H28" s="25" t="s">
        <v>66</v>
      </c>
      <c r="I28" s="25" t="s">
        <v>106</v>
      </c>
      <c r="J28" s="27" t="n">
        <v>1</v>
      </c>
      <c r="K28" s="25" t="s">
        <v>252</v>
      </c>
      <c r="L28" s="25" t="s">
        <v>92</v>
      </c>
      <c r="M28" s="31" t="n">
        <f aca="false">G28*J28</f>
        <v>70</v>
      </c>
      <c r="N28" s="12"/>
      <c r="O28" s="28" t="str">
        <f aca="false">IF(OR(A28="",D28="",F28="",G28="",H28="",I28="",J28="",K28="",L28=""),"BLOCKING",IF(OR(G28&lt;0,J28&lt;=0),"BLOCKING","OK"))</f>
        <v>OK</v>
      </c>
    </row>
    <row r="29" customFormat="false" ht="15" hidden="false" customHeight="false" outlineLevel="0" collapsed="false">
      <c r="A29" s="25" t="s">
        <v>267</v>
      </c>
      <c r="B29" s="25" t="n">
        <v>1</v>
      </c>
      <c r="C29" s="25" t="s">
        <v>64</v>
      </c>
      <c r="D29" s="25" t="s">
        <v>250</v>
      </c>
      <c r="E29" s="25" t="s">
        <v>251</v>
      </c>
      <c r="F29" s="25" t="s">
        <v>96</v>
      </c>
      <c r="G29" s="27" t="n">
        <v>900</v>
      </c>
      <c r="H29" s="25" t="s">
        <v>66</v>
      </c>
      <c r="I29" s="25" t="s">
        <v>117</v>
      </c>
      <c r="J29" s="27" t="n">
        <v>1</v>
      </c>
      <c r="K29" s="25" t="s">
        <v>252</v>
      </c>
      <c r="L29" s="25" t="s">
        <v>97</v>
      </c>
      <c r="M29" s="31" t="n">
        <f aca="false">G29*J29</f>
        <v>900</v>
      </c>
      <c r="N29" s="12"/>
      <c r="O29" s="28" t="str">
        <f aca="false">IF(OR(A29="",D29="",F29="",G29="",H29="",I29="",J29="",K29="",L29=""),"BLOCKING",IF(OR(G29&lt;0,J29&lt;=0),"BLOCKING","OK"))</f>
        <v>OK</v>
      </c>
    </row>
    <row r="30" customFormat="false" ht="15" hidden="false" customHeight="false" outlineLevel="0" collapsed="false">
      <c r="A30" s="25" t="s">
        <v>267</v>
      </c>
      <c r="B30" s="25" t="n">
        <v>2</v>
      </c>
      <c r="C30" s="25" t="s">
        <v>64</v>
      </c>
      <c r="D30" s="25" t="s">
        <v>253</v>
      </c>
      <c r="E30" s="25" t="s">
        <v>254</v>
      </c>
      <c r="F30" s="25" t="s">
        <v>105</v>
      </c>
      <c r="G30" s="27" t="n">
        <v>160</v>
      </c>
      <c r="H30" s="25" t="s">
        <v>66</v>
      </c>
      <c r="I30" s="25" t="s">
        <v>117</v>
      </c>
      <c r="J30" s="27" t="n">
        <v>1</v>
      </c>
      <c r="K30" s="25" t="s">
        <v>252</v>
      </c>
      <c r="L30" s="25" t="s">
        <v>97</v>
      </c>
      <c r="M30" s="31" t="n">
        <f aca="false">G30*J30</f>
        <v>160</v>
      </c>
      <c r="N30" s="12"/>
      <c r="O30" s="28" t="str">
        <f aca="false">IF(OR(A30="",D30="",F30="",G30="",H30="",I30="",J30="",K30="",L30=""),"BLOCKING",IF(OR(G30&lt;0,J30&lt;=0),"BLOCKING","OK"))</f>
        <v>OK</v>
      </c>
    </row>
    <row r="31" customFormat="false" ht="15" hidden="false" customHeight="false" outlineLevel="0" collapsed="false">
      <c r="A31" s="25" t="s">
        <v>267</v>
      </c>
      <c r="B31" s="25" t="n">
        <v>3</v>
      </c>
      <c r="C31" s="25" t="s">
        <v>64</v>
      </c>
      <c r="D31" s="25" t="s">
        <v>255</v>
      </c>
      <c r="E31" s="25" t="s">
        <v>256</v>
      </c>
      <c r="F31" s="25" t="s">
        <v>105</v>
      </c>
      <c r="G31" s="27" t="n">
        <v>40</v>
      </c>
      <c r="H31" s="25" t="s">
        <v>66</v>
      </c>
      <c r="I31" s="25" t="s">
        <v>117</v>
      </c>
      <c r="J31" s="27" t="n">
        <v>1</v>
      </c>
      <c r="K31" s="25" t="s">
        <v>252</v>
      </c>
      <c r="L31" s="25" t="s">
        <v>97</v>
      </c>
      <c r="M31" s="31" t="n">
        <f aca="false">G31*J31</f>
        <v>40</v>
      </c>
      <c r="N31" s="12"/>
      <c r="O31" s="28" t="str">
        <f aca="false">IF(OR(A31="",D31="",F31="",G31="",H31="",I31="",J31="",K31="",L31=""),"BLOCKING",IF(OR(G31&lt;0,J31&lt;=0),"BLOCKING","OK"))</f>
        <v>OK</v>
      </c>
    </row>
    <row r="32" customFormat="false" ht="15" hidden="false" customHeight="false" outlineLevel="0" collapsed="false">
      <c r="A32" s="25" t="s">
        <v>267</v>
      </c>
      <c r="B32" s="25" t="n">
        <v>4</v>
      </c>
      <c r="C32" s="25" t="s">
        <v>64</v>
      </c>
      <c r="D32" s="25" t="s">
        <v>257</v>
      </c>
      <c r="E32" s="25" t="s">
        <v>258</v>
      </c>
      <c r="F32" s="25" t="s">
        <v>116</v>
      </c>
      <c r="G32" s="27" t="n">
        <v>150</v>
      </c>
      <c r="H32" s="25" t="s">
        <v>66</v>
      </c>
      <c r="I32" s="25" t="s">
        <v>117</v>
      </c>
      <c r="J32" s="27" t="n">
        <v>1</v>
      </c>
      <c r="K32" s="25" t="s">
        <v>252</v>
      </c>
      <c r="L32" s="25" t="s">
        <v>92</v>
      </c>
      <c r="M32" s="31" t="n">
        <f aca="false">G32*J32</f>
        <v>150</v>
      </c>
      <c r="N32" s="12"/>
      <c r="O32" s="28" t="str">
        <f aca="false">IF(OR(A32="",D32="",F32="",G32="",H32="",I32="",J32="",K32="",L32=""),"BLOCKING",IF(OR(G32&lt;0,J32&lt;=0),"BLOCKING","OK"))</f>
        <v>OK</v>
      </c>
    </row>
    <row r="33" customFormat="false" ht="15" hidden="false" customHeight="false" outlineLevel="0" collapsed="false">
      <c r="A33" s="25" t="s">
        <v>267</v>
      </c>
      <c r="B33" s="25" t="n">
        <v>5</v>
      </c>
      <c r="C33" s="25" t="s">
        <v>64</v>
      </c>
      <c r="D33" s="25" t="s">
        <v>259</v>
      </c>
      <c r="E33" s="25" t="s">
        <v>260</v>
      </c>
      <c r="F33" s="25" t="s">
        <v>116</v>
      </c>
      <c r="G33" s="27" t="n">
        <v>60</v>
      </c>
      <c r="H33" s="25" t="s">
        <v>66</v>
      </c>
      <c r="I33" s="25" t="s">
        <v>106</v>
      </c>
      <c r="J33" s="27" t="n">
        <v>1</v>
      </c>
      <c r="K33" s="25" t="s">
        <v>252</v>
      </c>
      <c r="L33" s="25" t="s">
        <v>92</v>
      </c>
      <c r="M33" s="31" t="n">
        <f aca="false">G33*J33</f>
        <v>60</v>
      </c>
      <c r="N33" s="12"/>
      <c r="O33" s="28" t="str">
        <f aca="false">IF(OR(A33="",D33="",F33="",G33="",H33="",I33="",J33="",K33="",L33=""),"BLOCKING",IF(OR(G33&lt;0,J33&lt;=0),"BLOCKING","OK"))</f>
        <v>OK</v>
      </c>
    </row>
    <row r="34" customFormat="false" ht="15" hidden="false" customHeight="false" outlineLevel="0" collapsed="false">
      <c r="A34" s="25" t="s">
        <v>268</v>
      </c>
      <c r="B34" s="25" t="n">
        <v>1</v>
      </c>
      <c r="C34" s="25" t="s">
        <v>64</v>
      </c>
      <c r="D34" s="25" t="s">
        <v>250</v>
      </c>
      <c r="E34" s="25" t="s">
        <v>251</v>
      </c>
      <c r="F34" s="25" t="s">
        <v>96</v>
      </c>
      <c r="G34" s="27" t="n">
        <v>250</v>
      </c>
      <c r="H34" s="25" t="s">
        <v>66</v>
      </c>
      <c r="I34" s="25" t="s">
        <v>117</v>
      </c>
      <c r="J34" s="27" t="n">
        <v>1</v>
      </c>
      <c r="K34" s="25" t="s">
        <v>252</v>
      </c>
      <c r="L34" s="25" t="s">
        <v>92</v>
      </c>
      <c r="M34" s="31" t="n">
        <f aca="false">G34*J34</f>
        <v>250</v>
      </c>
      <c r="N34" s="12" t="s">
        <v>269</v>
      </c>
      <c r="O34" s="28" t="str">
        <f aca="false">IF(OR(A34="",D34="",F34="",G34="",H34="",I34="",J34="",K34="",L34=""),"BLOCKING",IF(OR(G34&lt;0,J34&lt;=0),"BLOCKING","OK"))</f>
        <v>OK</v>
      </c>
    </row>
    <row r="35" customFormat="false" ht="15" hidden="false" customHeight="false" outlineLevel="0" collapsed="false">
      <c r="A35" s="25" t="s">
        <v>268</v>
      </c>
      <c r="B35" s="25" t="n">
        <v>2</v>
      </c>
      <c r="C35" s="25" t="s">
        <v>64</v>
      </c>
      <c r="D35" s="25" t="s">
        <v>253</v>
      </c>
      <c r="E35" s="25" t="s">
        <v>254</v>
      </c>
      <c r="F35" s="25" t="s">
        <v>105</v>
      </c>
      <c r="G35" s="27" t="n">
        <v>80</v>
      </c>
      <c r="H35" s="25" t="s">
        <v>66</v>
      </c>
      <c r="I35" s="25" t="s">
        <v>117</v>
      </c>
      <c r="J35" s="27" t="n">
        <v>1</v>
      </c>
      <c r="K35" s="25" t="s">
        <v>252</v>
      </c>
      <c r="L35" s="25" t="s">
        <v>92</v>
      </c>
      <c r="M35" s="31" t="n">
        <f aca="false">G35*J35</f>
        <v>80</v>
      </c>
      <c r="N35" s="12"/>
      <c r="O35" s="28" t="str">
        <f aca="false">IF(OR(A35="",D35="",F35="",G35="",H35="",I35="",J35="",K35="",L35=""),"BLOCKING",IF(OR(G35&lt;0,J35&lt;=0),"BLOCKING","OK"))</f>
        <v>OK</v>
      </c>
    </row>
    <row r="36" customFormat="false" ht="15" hidden="false" customHeight="false" outlineLevel="0" collapsed="false">
      <c r="A36" s="25" t="s">
        <v>268</v>
      </c>
      <c r="B36" s="25" t="n">
        <v>3</v>
      </c>
      <c r="C36" s="25" t="s">
        <v>64</v>
      </c>
      <c r="D36" s="25" t="s">
        <v>255</v>
      </c>
      <c r="E36" s="25" t="s">
        <v>256</v>
      </c>
      <c r="F36" s="25" t="s">
        <v>105</v>
      </c>
      <c r="G36" s="27" t="n">
        <v>20</v>
      </c>
      <c r="H36" s="25" t="s">
        <v>66</v>
      </c>
      <c r="I36" s="25" t="s">
        <v>117</v>
      </c>
      <c r="J36" s="27" t="n">
        <v>1</v>
      </c>
      <c r="K36" s="25" t="s">
        <v>252</v>
      </c>
      <c r="L36" s="25" t="s">
        <v>92</v>
      </c>
      <c r="M36" s="31" t="n">
        <f aca="false">G36*J36</f>
        <v>20</v>
      </c>
      <c r="N36" s="12"/>
      <c r="O36" s="28" t="str">
        <f aca="false">IF(OR(A36="",D36="",F36="",G36="",H36="",I36="",J36="",K36="",L36=""),"BLOCKING",IF(OR(G36&lt;0,J36&lt;=0),"BLOCKING","OK"))</f>
        <v>OK</v>
      </c>
    </row>
    <row r="37" customFormat="false" ht="15" hidden="false" customHeight="false" outlineLevel="0" collapsed="false">
      <c r="A37" s="25" t="s">
        <v>268</v>
      </c>
      <c r="B37" s="25" t="n">
        <v>4</v>
      </c>
      <c r="C37" s="25" t="s">
        <v>64</v>
      </c>
      <c r="D37" s="25" t="s">
        <v>257</v>
      </c>
      <c r="E37" s="25" t="s">
        <v>258</v>
      </c>
      <c r="F37" s="25" t="s">
        <v>116</v>
      </c>
      <c r="G37" s="27" t="n">
        <v>170</v>
      </c>
      <c r="H37" s="25" t="s">
        <v>66</v>
      </c>
      <c r="I37" s="25" t="s">
        <v>117</v>
      </c>
      <c r="J37" s="27" t="n">
        <v>1</v>
      </c>
      <c r="K37" s="25" t="s">
        <v>252</v>
      </c>
      <c r="L37" s="25" t="s">
        <v>92</v>
      </c>
      <c r="M37" s="31" t="n">
        <f aca="false">G37*J37</f>
        <v>170</v>
      </c>
      <c r="N37" s="12"/>
      <c r="O37" s="28" t="str">
        <f aca="false">IF(OR(A37="",D37="",F37="",G37="",H37="",I37="",J37="",K37="",L37=""),"BLOCKING",IF(OR(G37&lt;0,J37&lt;=0),"BLOCKING","OK"))</f>
        <v>OK</v>
      </c>
    </row>
    <row r="38" customFormat="false" ht="15" hidden="false" customHeight="false" outlineLevel="0" collapsed="false">
      <c r="A38" s="25" t="s">
        <v>268</v>
      </c>
      <c r="B38" s="25" t="n">
        <v>5</v>
      </c>
      <c r="C38" s="25" t="s">
        <v>64</v>
      </c>
      <c r="D38" s="25" t="s">
        <v>259</v>
      </c>
      <c r="E38" s="25" t="s">
        <v>260</v>
      </c>
      <c r="F38" s="25" t="s">
        <v>116</v>
      </c>
      <c r="G38" s="27" t="n">
        <v>80</v>
      </c>
      <c r="H38" s="25" t="s">
        <v>66</v>
      </c>
      <c r="I38" s="25" t="s">
        <v>106</v>
      </c>
      <c r="J38" s="27" t="n">
        <v>1</v>
      </c>
      <c r="K38" s="25" t="s">
        <v>252</v>
      </c>
      <c r="L38" s="25" t="s">
        <v>92</v>
      </c>
      <c r="M38" s="31" t="n">
        <f aca="false">G38*J38</f>
        <v>80</v>
      </c>
      <c r="N38" s="12"/>
      <c r="O38" s="28" t="str">
        <f aca="false">IF(OR(A38="",D38="",F38="",G38="",H38="",I38="",J38="",K38="",L38=""),"BLOCKING",IF(OR(G38&lt;0,J38&lt;=0),"BLOCKING","OK"))</f>
        <v>OK</v>
      </c>
    </row>
    <row r="39" customFormat="false" ht="15" hidden="false" customHeight="false" outlineLevel="0" collapsed="false">
      <c r="A39" s="25" t="s">
        <v>270</v>
      </c>
      <c r="B39" s="25" t="n">
        <v>1</v>
      </c>
      <c r="C39" s="25" t="s">
        <v>64</v>
      </c>
      <c r="D39" s="25" t="s">
        <v>250</v>
      </c>
      <c r="E39" s="25" t="s">
        <v>251</v>
      </c>
      <c r="F39" s="25" t="s">
        <v>96</v>
      </c>
      <c r="G39" s="27" t="n">
        <v>6500</v>
      </c>
      <c r="H39" s="25" t="s">
        <v>66</v>
      </c>
      <c r="I39" s="25" t="s">
        <v>117</v>
      </c>
      <c r="J39" s="27" t="n">
        <v>1</v>
      </c>
      <c r="K39" s="25" t="s">
        <v>252</v>
      </c>
      <c r="L39" s="25" t="s">
        <v>92</v>
      </c>
      <c r="M39" s="31" t="n">
        <f aca="false">G39*J39</f>
        <v>6500</v>
      </c>
      <c r="N39" s="12" t="s">
        <v>271</v>
      </c>
      <c r="O39" s="28" t="str">
        <f aca="false">IF(OR(A39="",D39="",F39="",G39="",H39="",I39="",J39="",K39="",L39=""),"BLOCKING",IF(OR(G39&lt;0,J39&lt;=0),"BLOCKING","OK"))</f>
        <v>OK</v>
      </c>
    </row>
    <row r="40" customFormat="false" ht="15" hidden="false" customHeight="false" outlineLevel="0" collapsed="false">
      <c r="A40" s="25" t="s">
        <v>270</v>
      </c>
      <c r="B40" s="25" t="n">
        <v>2</v>
      </c>
      <c r="C40" s="25" t="s">
        <v>64</v>
      </c>
      <c r="D40" s="25" t="s">
        <v>272</v>
      </c>
      <c r="E40" s="25" t="s">
        <v>273</v>
      </c>
      <c r="F40" s="25" t="s">
        <v>151</v>
      </c>
      <c r="G40" s="27" t="n">
        <v>900</v>
      </c>
      <c r="H40" s="25" t="s">
        <v>66</v>
      </c>
      <c r="I40" s="25" t="s">
        <v>117</v>
      </c>
      <c r="J40" s="27" t="n">
        <v>1</v>
      </c>
      <c r="K40" s="25" t="s">
        <v>252</v>
      </c>
      <c r="L40" s="25" t="s">
        <v>92</v>
      </c>
      <c r="M40" s="31" t="n">
        <f aca="false">G40*J40</f>
        <v>900</v>
      </c>
      <c r="N40" s="12"/>
      <c r="O40" s="28" t="str">
        <f aca="false">IF(OR(A40="",D40="",F40="",G40="",H40="",I40="",J40="",K40="",L40=""),"BLOCKING",IF(OR(G40&lt;0,J40&lt;=0),"BLOCKING","OK"))</f>
        <v>OK</v>
      </c>
    </row>
    <row r="41" customFormat="false" ht="15" hidden="false" customHeight="false" outlineLevel="0" collapsed="false">
      <c r="A41" s="25" t="s">
        <v>270</v>
      </c>
      <c r="B41" s="25" t="n">
        <v>3</v>
      </c>
      <c r="C41" s="25" t="s">
        <v>64</v>
      </c>
      <c r="D41" s="25" t="s">
        <v>253</v>
      </c>
      <c r="E41" s="25" t="s">
        <v>254</v>
      </c>
      <c r="F41" s="25" t="s">
        <v>105</v>
      </c>
      <c r="G41" s="27" t="n">
        <v>400</v>
      </c>
      <c r="H41" s="25" t="s">
        <v>66</v>
      </c>
      <c r="I41" s="25" t="s">
        <v>117</v>
      </c>
      <c r="J41" s="27" t="n">
        <v>1</v>
      </c>
      <c r="K41" s="25" t="s">
        <v>252</v>
      </c>
      <c r="L41" s="25" t="s">
        <v>92</v>
      </c>
      <c r="M41" s="31" t="n">
        <f aca="false">G41*J41</f>
        <v>400</v>
      </c>
      <c r="N41" s="12"/>
      <c r="O41" s="28" t="str">
        <f aca="false">IF(OR(A41="",D41="",F41="",G41="",H41="",I41="",J41="",K41="",L41=""),"BLOCKING",IF(OR(G41&lt;0,J41&lt;=0),"BLOCKING","OK"))</f>
        <v>OK</v>
      </c>
    </row>
    <row r="42" customFormat="false" ht="15" hidden="false" customHeight="false" outlineLevel="0" collapsed="false">
      <c r="A42" s="25" t="s">
        <v>270</v>
      </c>
      <c r="B42" s="25" t="n">
        <v>4</v>
      </c>
      <c r="C42" s="25" t="s">
        <v>64</v>
      </c>
      <c r="D42" s="25" t="s">
        <v>255</v>
      </c>
      <c r="E42" s="25" t="s">
        <v>256</v>
      </c>
      <c r="F42" s="25" t="s">
        <v>105</v>
      </c>
      <c r="G42" s="27" t="n">
        <v>100</v>
      </c>
      <c r="H42" s="25" t="s">
        <v>66</v>
      </c>
      <c r="I42" s="25" t="s">
        <v>117</v>
      </c>
      <c r="J42" s="27" t="n">
        <v>1</v>
      </c>
      <c r="K42" s="25" t="s">
        <v>252</v>
      </c>
      <c r="L42" s="25" t="s">
        <v>92</v>
      </c>
      <c r="M42" s="31" t="n">
        <f aca="false">G42*J42</f>
        <v>100</v>
      </c>
      <c r="N42" s="12"/>
      <c r="O42" s="28" t="str">
        <f aca="false">IF(OR(A42="",D42="",F42="",G42="",H42="",I42="",J42="",K42="",L42=""),"BLOCKING",IF(OR(G42&lt;0,J42&lt;=0),"BLOCKING","OK"))</f>
        <v>OK</v>
      </c>
    </row>
    <row r="43" customFormat="false" ht="15" hidden="false" customHeight="false" outlineLevel="0" collapsed="false">
      <c r="A43" s="25" t="s">
        <v>270</v>
      </c>
      <c r="B43" s="25" t="n">
        <v>5</v>
      </c>
      <c r="C43" s="25" t="s">
        <v>64</v>
      </c>
      <c r="D43" s="25" t="s">
        <v>257</v>
      </c>
      <c r="E43" s="25" t="s">
        <v>258</v>
      </c>
      <c r="F43" s="25" t="s">
        <v>116</v>
      </c>
      <c r="G43" s="27" t="n">
        <v>250</v>
      </c>
      <c r="H43" s="25" t="s">
        <v>66</v>
      </c>
      <c r="I43" s="25" t="s">
        <v>117</v>
      </c>
      <c r="J43" s="27" t="n">
        <v>1</v>
      </c>
      <c r="K43" s="25" t="s">
        <v>252</v>
      </c>
      <c r="L43" s="25" t="s">
        <v>92</v>
      </c>
      <c r="M43" s="31" t="n">
        <f aca="false">G43*J43</f>
        <v>250</v>
      </c>
      <c r="N43" s="12"/>
      <c r="O43" s="28" t="str">
        <f aca="false">IF(OR(A43="",D43="",F43="",G43="",H43="",I43="",J43="",K43="",L43=""),"BLOCKING",IF(OR(G43&lt;0,J43&lt;=0),"BLOCKING","OK"))</f>
        <v>OK</v>
      </c>
    </row>
    <row r="44" customFormat="false" ht="15" hidden="false" customHeight="false" outlineLevel="0" collapsed="false">
      <c r="A44" s="25" t="s">
        <v>270</v>
      </c>
      <c r="B44" s="25" t="n">
        <v>6</v>
      </c>
      <c r="C44" s="25" t="s">
        <v>64</v>
      </c>
      <c r="D44" s="25" t="s">
        <v>259</v>
      </c>
      <c r="E44" s="25" t="s">
        <v>260</v>
      </c>
      <c r="F44" s="25" t="s">
        <v>116</v>
      </c>
      <c r="G44" s="27" t="n">
        <v>80</v>
      </c>
      <c r="H44" s="25" t="s">
        <v>66</v>
      </c>
      <c r="I44" s="25" t="s">
        <v>106</v>
      </c>
      <c r="J44" s="27" t="n">
        <v>1</v>
      </c>
      <c r="K44" s="25" t="s">
        <v>252</v>
      </c>
      <c r="L44" s="25" t="s">
        <v>92</v>
      </c>
      <c r="M44" s="31" t="n">
        <f aca="false">G44*J44</f>
        <v>80</v>
      </c>
      <c r="N44" s="12"/>
      <c r="O44" s="28" t="str">
        <f aca="false">IF(OR(A44="",D44="",F44="",G44="",H44="",I44="",J44="",K44="",L44=""),"BLOCKING",IF(OR(G44&lt;0,J44&lt;=0),"BLOCKING","OK"))</f>
        <v>OK</v>
      </c>
    </row>
    <row r="45" customFormat="false" ht="15" hidden="false" customHeight="false" outlineLevel="0" collapsed="false">
      <c r="A45" s="25" t="s">
        <v>274</v>
      </c>
      <c r="B45" s="25" t="n">
        <v>1</v>
      </c>
      <c r="C45" s="25" t="s">
        <v>64</v>
      </c>
      <c r="D45" s="25" t="s">
        <v>109</v>
      </c>
      <c r="E45" s="25" t="s">
        <v>275</v>
      </c>
      <c r="F45" s="25" t="s">
        <v>96</v>
      </c>
      <c r="G45" s="27" t="n">
        <v>180</v>
      </c>
      <c r="H45" s="25" t="s">
        <v>66</v>
      </c>
      <c r="I45" s="25" t="s">
        <v>140</v>
      </c>
      <c r="J45" s="27" t="n">
        <v>9.6</v>
      </c>
      <c r="K45" s="25" t="s">
        <v>252</v>
      </c>
      <c r="L45" s="25" t="s">
        <v>92</v>
      </c>
      <c r="M45" s="31" t="n">
        <f aca="false">G45*J45</f>
        <v>1728</v>
      </c>
      <c r="N45" s="12" t="s">
        <v>276</v>
      </c>
      <c r="O45" s="28" t="str">
        <f aca="false">IF(OR(A45="",D45="",F45="",G45="",H45="",I45="",J45="",K45="",L45=""),"BLOCKING",IF(OR(G45&lt;0,J45&lt;=0),"BLOCKING","OK"))</f>
        <v>OK</v>
      </c>
    </row>
    <row r="46" customFormat="false" ht="15" hidden="false" customHeight="false" outlineLevel="0" collapsed="false">
      <c r="A46" s="25" t="s">
        <v>274</v>
      </c>
      <c r="B46" s="25" t="n">
        <v>2</v>
      </c>
      <c r="C46" s="25" t="s">
        <v>64</v>
      </c>
      <c r="D46" s="25" t="s">
        <v>277</v>
      </c>
      <c r="E46" s="25" t="s">
        <v>278</v>
      </c>
      <c r="F46" s="25" t="s">
        <v>116</v>
      </c>
      <c r="G46" s="27" t="n">
        <v>350</v>
      </c>
      <c r="H46" s="25" t="s">
        <v>66</v>
      </c>
      <c r="I46" s="25" t="s">
        <v>98</v>
      </c>
      <c r="J46" s="27" t="n">
        <v>1</v>
      </c>
      <c r="K46" s="25" t="s">
        <v>252</v>
      </c>
      <c r="L46" s="25" t="s">
        <v>92</v>
      </c>
      <c r="M46" s="31" t="n">
        <f aca="false">G46*J46</f>
        <v>350</v>
      </c>
      <c r="N46" s="12"/>
      <c r="O46" s="28" t="str">
        <f aca="false">IF(OR(A46="",D46="",F46="",G46="",H46="",I46="",J46="",K46="",L46=""),"BLOCKING",IF(OR(G46&lt;0,J46&lt;=0),"BLOCKING","OK"))</f>
        <v>OK</v>
      </c>
    </row>
    <row r="47" customFormat="false" ht="15" hidden="false" customHeight="false" outlineLevel="0" collapsed="false">
      <c r="A47" s="25" t="s">
        <v>274</v>
      </c>
      <c r="B47" s="25" t="n">
        <v>3</v>
      </c>
      <c r="C47" s="25" t="s">
        <v>64</v>
      </c>
      <c r="D47" s="25" t="s">
        <v>259</v>
      </c>
      <c r="E47" s="25" t="s">
        <v>260</v>
      </c>
      <c r="F47" s="25" t="s">
        <v>116</v>
      </c>
      <c r="G47" s="27" t="n">
        <v>80</v>
      </c>
      <c r="H47" s="25" t="s">
        <v>66</v>
      </c>
      <c r="I47" s="25" t="s">
        <v>106</v>
      </c>
      <c r="J47" s="27" t="n">
        <v>1</v>
      </c>
      <c r="K47" s="25" t="s">
        <v>252</v>
      </c>
      <c r="L47" s="25" t="s">
        <v>92</v>
      </c>
      <c r="M47" s="31" t="n">
        <f aca="false">G47*J47</f>
        <v>80</v>
      </c>
      <c r="N47" s="12"/>
      <c r="O47" s="28" t="str">
        <f aca="false">IF(OR(A47="",D47="",F47="",G47="",H47="",I47="",J47="",K47="",L47=""),"BLOCKING",IF(OR(G47&lt;0,J47&lt;=0),"BLOCKING","OK"))</f>
        <v>OK</v>
      </c>
    </row>
    <row r="48" customFormat="false" ht="15" hidden="false" customHeight="false" outlineLevel="0" collapsed="false">
      <c r="A48" s="25" t="s">
        <v>279</v>
      </c>
      <c r="B48" s="25" t="n">
        <v>1</v>
      </c>
      <c r="C48" s="25" t="s">
        <v>64</v>
      </c>
      <c r="D48" s="25" t="s">
        <v>280</v>
      </c>
      <c r="E48" s="25" t="s">
        <v>281</v>
      </c>
      <c r="F48" s="25" t="s">
        <v>133</v>
      </c>
      <c r="G48" s="27" t="n">
        <v>600</v>
      </c>
      <c r="H48" s="25" t="s">
        <v>66</v>
      </c>
      <c r="I48" s="25" t="s">
        <v>98</v>
      </c>
      <c r="J48" s="27" t="n">
        <v>1</v>
      </c>
      <c r="K48" s="25" t="s">
        <v>252</v>
      </c>
      <c r="L48" s="25" t="s">
        <v>92</v>
      </c>
      <c r="M48" s="31" t="n">
        <f aca="false">G48*J48</f>
        <v>600</v>
      </c>
      <c r="N48" s="12"/>
      <c r="O48" s="28" t="str">
        <f aca="false">IF(OR(A48="",D48="",F48="",G48="",H48="",I48="",J48="",K48="",L48=""),"BLOCKING",IF(OR(G48&lt;0,J48&lt;=0),"BLOCKING","OK"))</f>
        <v>OK</v>
      </c>
    </row>
    <row r="49" customFormat="false" ht="15" hidden="false" customHeight="false" outlineLevel="0" collapsed="false">
      <c r="A49" s="25" t="s">
        <v>279</v>
      </c>
      <c r="B49" s="25" t="n">
        <v>2</v>
      </c>
      <c r="C49" s="25" t="s">
        <v>64</v>
      </c>
      <c r="D49" s="25" t="s">
        <v>257</v>
      </c>
      <c r="E49" s="25" t="s">
        <v>258</v>
      </c>
      <c r="F49" s="25" t="s">
        <v>116</v>
      </c>
      <c r="G49" s="27" t="n">
        <v>170</v>
      </c>
      <c r="H49" s="25" t="s">
        <v>66</v>
      </c>
      <c r="I49" s="25" t="s">
        <v>117</v>
      </c>
      <c r="J49" s="27" t="n">
        <v>1</v>
      </c>
      <c r="K49" s="25" t="s">
        <v>252</v>
      </c>
      <c r="L49" s="25" t="s">
        <v>92</v>
      </c>
      <c r="M49" s="31" t="n">
        <f aca="false">G49*J49</f>
        <v>170</v>
      </c>
      <c r="N49" s="12"/>
      <c r="O49" s="28" t="str">
        <f aca="false">IF(OR(A49="",D49="",F49="",G49="",H49="",I49="",J49="",K49="",L49=""),"BLOCKING",IF(OR(G49&lt;0,J49&lt;=0),"BLOCKING","OK"))</f>
        <v>OK</v>
      </c>
    </row>
    <row r="50" customFormat="false" ht="15" hidden="false" customHeight="false" outlineLevel="0" collapsed="false">
      <c r="A50" s="25" t="s">
        <v>279</v>
      </c>
      <c r="B50" s="25" t="n">
        <v>3</v>
      </c>
      <c r="C50" s="25" t="s">
        <v>64</v>
      </c>
      <c r="D50" s="25" t="s">
        <v>259</v>
      </c>
      <c r="E50" s="25" t="s">
        <v>260</v>
      </c>
      <c r="F50" s="25" t="s">
        <v>116</v>
      </c>
      <c r="G50" s="27" t="n">
        <v>80</v>
      </c>
      <c r="H50" s="25" t="s">
        <v>66</v>
      </c>
      <c r="I50" s="25" t="s">
        <v>106</v>
      </c>
      <c r="J50" s="27" t="n">
        <v>1</v>
      </c>
      <c r="K50" s="25" t="s">
        <v>252</v>
      </c>
      <c r="L50" s="25" t="s">
        <v>92</v>
      </c>
      <c r="M50" s="31" t="n">
        <f aca="false">G50*J50</f>
        <v>80</v>
      </c>
      <c r="N50" s="12"/>
      <c r="O50" s="28" t="str">
        <f aca="false">IF(OR(A50="",D50="",F50="",G50="",H50="",I50="",J50="",K50="",L50=""),"BLOCKING",IF(OR(G50&lt;0,J50&lt;=0),"BLOCKING","OK"))</f>
        <v>OK</v>
      </c>
    </row>
    <row r="51" customFormat="false" ht="15" hidden="false" customHeight="false" outlineLevel="0" collapsed="false">
      <c r="A51" s="25" t="s">
        <v>282</v>
      </c>
      <c r="B51" s="25" t="n">
        <v>1</v>
      </c>
      <c r="C51" s="25" t="s">
        <v>64</v>
      </c>
      <c r="D51" s="25" t="s">
        <v>250</v>
      </c>
      <c r="E51" s="25" t="s">
        <v>251</v>
      </c>
      <c r="F51" s="25" t="s">
        <v>96</v>
      </c>
      <c r="G51" s="27" t="n">
        <v>6500</v>
      </c>
      <c r="H51" s="25" t="s">
        <v>66</v>
      </c>
      <c r="I51" s="25" t="s">
        <v>117</v>
      </c>
      <c r="J51" s="27" t="n">
        <v>1</v>
      </c>
      <c r="K51" s="25" t="s">
        <v>252</v>
      </c>
      <c r="L51" s="25" t="s">
        <v>97</v>
      </c>
      <c r="M51" s="31" t="n">
        <f aca="false">G51*J51</f>
        <v>6500</v>
      </c>
      <c r="N51" s="12"/>
      <c r="O51" s="28" t="str">
        <f aca="false">IF(OR(A51="",D51="",F51="",G51="",H51="",I51="",J51="",K51="",L51=""),"BLOCKING",IF(OR(G51&lt;0,J51&lt;=0),"BLOCKING","OK"))</f>
        <v>OK</v>
      </c>
    </row>
    <row r="52" customFormat="false" ht="15" hidden="false" customHeight="false" outlineLevel="0" collapsed="false">
      <c r="A52" s="25" t="s">
        <v>282</v>
      </c>
      <c r="B52" s="25" t="n">
        <v>2</v>
      </c>
      <c r="C52" s="25" t="s">
        <v>64</v>
      </c>
      <c r="D52" s="25" t="s">
        <v>253</v>
      </c>
      <c r="E52" s="25" t="s">
        <v>254</v>
      </c>
      <c r="F52" s="25" t="s">
        <v>105</v>
      </c>
      <c r="G52" s="27" t="n">
        <v>400</v>
      </c>
      <c r="H52" s="25" t="s">
        <v>66</v>
      </c>
      <c r="I52" s="25" t="s">
        <v>117</v>
      </c>
      <c r="J52" s="27" t="n">
        <v>1</v>
      </c>
      <c r="K52" s="25" t="s">
        <v>252</v>
      </c>
      <c r="L52" s="25" t="s">
        <v>97</v>
      </c>
      <c r="M52" s="31" t="n">
        <f aca="false">G52*J52</f>
        <v>400</v>
      </c>
      <c r="N52" s="12"/>
      <c r="O52" s="28" t="str">
        <f aca="false">IF(OR(A52="",D52="",F52="",G52="",H52="",I52="",J52="",K52="",L52=""),"BLOCKING",IF(OR(G52&lt;0,J52&lt;=0),"BLOCKING","OK"))</f>
        <v>OK</v>
      </c>
    </row>
    <row r="53" customFormat="false" ht="15" hidden="false" customHeight="false" outlineLevel="0" collapsed="false">
      <c r="A53" s="25" t="s">
        <v>282</v>
      </c>
      <c r="B53" s="25" t="n">
        <v>3</v>
      </c>
      <c r="C53" s="25" t="s">
        <v>64</v>
      </c>
      <c r="D53" s="25" t="s">
        <v>255</v>
      </c>
      <c r="E53" s="25" t="s">
        <v>256</v>
      </c>
      <c r="F53" s="25" t="s">
        <v>105</v>
      </c>
      <c r="G53" s="27" t="n">
        <v>100</v>
      </c>
      <c r="H53" s="25" t="s">
        <v>66</v>
      </c>
      <c r="I53" s="25" t="s">
        <v>117</v>
      </c>
      <c r="J53" s="27" t="n">
        <v>1</v>
      </c>
      <c r="K53" s="25" t="s">
        <v>252</v>
      </c>
      <c r="L53" s="25" t="s">
        <v>97</v>
      </c>
      <c r="M53" s="31" t="n">
        <f aca="false">G53*J53</f>
        <v>100</v>
      </c>
      <c r="N53" s="12"/>
      <c r="O53" s="28" t="str">
        <f aca="false">IF(OR(A53="",D53="",F53="",G53="",H53="",I53="",J53="",K53="",L53=""),"BLOCKING",IF(OR(G53&lt;0,J53&lt;=0),"BLOCKING","OK"))</f>
        <v>OK</v>
      </c>
    </row>
    <row r="54" customFormat="false" ht="15" hidden="false" customHeight="false" outlineLevel="0" collapsed="false">
      <c r="A54" s="25" t="s">
        <v>282</v>
      </c>
      <c r="B54" s="25" t="n">
        <v>4</v>
      </c>
      <c r="C54" s="25" t="s">
        <v>64</v>
      </c>
      <c r="D54" s="25" t="s">
        <v>257</v>
      </c>
      <c r="E54" s="25" t="s">
        <v>258</v>
      </c>
      <c r="F54" s="25" t="s">
        <v>116</v>
      </c>
      <c r="G54" s="27" t="n">
        <v>180</v>
      </c>
      <c r="H54" s="25" t="s">
        <v>66</v>
      </c>
      <c r="I54" s="25" t="s">
        <v>117</v>
      </c>
      <c r="J54" s="27" t="n">
        <v>1</v>
      </c>
      <c r="K54" s="25" t="s">
        <v>252</v>
      </c>
      <c r="L54" s="25" t="s">
        <v>92</v>
      </c>
      <c r="M54" s="31" t="n">
        <f aca="false">G54*J54</f>
        <v>180</v>
      </c>
      <c r="N54" s="12"/>
      <c r="O54" s="28" t="str">
        <f aca="false">IF(OR(A54="",D54="",F54="",G54="",H54="",I54="",J54="",K54="",L54=""),"BLOCKING",IF(OR(G54&lt;0,J54&lt;=0),"BLOCKING","OK"))</f>
        <v>OK</v>
      </c>
    </row>
    <row r="55" customFormat="false" ht="15" hidden="false" customHeight="false" outlineLevel="0" collapsed="false">
      <c r="A55" s="25" t="s">
        <v>282</v>
      </c>
      <c r="B55" s="25" t="n">
        <v>5</v>
      </c>
      <c r="C55" s="25" t="s">
        <v>64</v>
      </c>
      <c r="D55" s="25" t="s">
        <v>259</v>
      </c>
      <c r="E55" s="25" t="s">
        <v>260</v>
      </c>
      <c r="F55" s="25" t="s">
        <v>116</v>
      </c>
      <c r="G55" s="27" t="n">
        <v>80</v>
      </c>
      <c r="H55" s="25" t="s">
        <v>66</v>
      </c>
      <c r="I55" s="25" t="s">
        <v>106</v>
      </c>
      <c r="J55" s="27" t="n">
        <v>1</v>
      </c>
      <c r="K55" s="25" t="s">
        <v>252</v>
      </c>
      <c r="L55" s="25" t="s">
        <v>92</v>
      </c>
      <c r="M55" s="31" t="n">
        <f aca="false">G55*J55</f>
        <v>80</v>
      </c>
      <c r="N55" s="12"/>
      <c r="O55" s="28" t="str">
        <f aca="false">IF(OR(A55="",D55="",F55="",G55="",H55="",I55="",J55="",K55="",L55=""),"BLOCKING",IF(OR(G55&lt;0,J55&lt;=0),"BLOCKING","OK"))</f>
        <v>OK</v>
      </c>
    </row>
    <row r="56" customFormat="false" ht="15" hidden="false" customHeight="false" outlineLevel="0" collapsed="false">
      <c r="A56" s="25" t="s">
        <v>282</v>
      </c>
      <c r="B56" s="25" t="n">
        <v>6</v>
      </c>
      <c r="C56" s="25" t="s">
        <v>64</v>
      </c>
      <c r="D56" s="25" t="s">
        <v>283</v>
      </c>
      <c r="E56" s="25" t="s">
        <v>284</v>
      </c>
      <c r="F56" s="25" t="s">
        <v>133</v>
      </c>
      <c r="G56" s="27" t="n">
        <v>900</v>
      </c>
      <c r="H56" s="25" t="s">
        <v>66</v>
      </c>
      <c r="I56" s="25" t="s">
        <v>98</v>
      </c>
      <c r="J56" s="27" t="n">
        <v>1</v>
      </c>
      <c r="K56" s="25" t="s">
        <v>252</v>
      </c>
      <c r="L56" s="25" t="s">
        <v>92</v>
      </c>
      <c r="M56" s="31" t="n">
        <f aca="false">G56*J56</f>
        <v>900</v>
      </c>
      <c r="N56" s="12"/>
      <c r="O56" s="28" t="str">
        <f aca="false">IF(OR(A56="",D56="",F56="",G56="",H56="",I56="",J56="",K56="",L56=""),"BLOCKING",IF(OR(G56&lt;0,J56&lt;=0),"BLOCKING","OK"))</f>
        <v>OK</v>
      </c>
    </row>
    <row r="57" customFormat="false" ht="15" hidden="false" customHeight="false" outlineLevel="0" collapsed="false">
      <c r="A57" s="25" t="s">
        <v>285</v>
      </c>
      <c r="B57" s="25" t="n">
        <v>1</v>
      </c>
      <c r="C57" s="25" t="s">
        <v>64</v>
      </c>
      <c r="D57" s="25" t="s">
        <v>250</v>
      </c>
      <c r="E57" s="25" t="s">
        <v>251</v>
      </c>
      <c r="F57" s="25" t="s">
        <v>96</v>
      </c>
      <c r="G57" s="27" t="n">
        <v>6700</v>
      </c>
      <c r="H57" s="25" t="s">
        <v>66</v>
      </c>
      <c r="I57" s="25" t="s">
        <v>117</v>
      </c>
      <c r="J57" s="27" t="n">
        <v>1</v>
      </c>
      <c r="K57" s="25" t="s">
        <v>252</v>
      </c>
      <c r="L57" s="25" t="s">
        <v>97</v>
      </c>
      <c r="M57" s="31" t="n">
        <f aca="false">G57*J57</f>
        <v>6700</v>
      </c>
      <c r="N57" s="12"/>
      <c r="O57" s="28" t="str">
        <f aca="false">IF(OR(A57="",D57="",F57="",G57="",H57="",I57="",J57="",K57="",L57=""),"BLOCKING",IF(OR(G57&lt;0,J57&lt;=0),"BLOCKING","OK"))</f>
        <v>OK</v>
      </c>
    </row>
    <row r="58" customFormat="false" ht="15" hidden="false" customHeight="false" outlineLevel="0" collapsed="false">
      <c r="A58" s="25" t="s">
        <v>285</v>
      </c>
      <c r="B58" s="25" t="n">
        <v>2</v>
      </c>
      <c r="C58" s="25" t="s">
        <v>64</v>
      </c>
      <c r="D58" s="25" t="s">
        <v>253</v>
      </c>
      <c r="E58" s="25" t="s">
        <v>254</v>
      </c>
      <c r="F58" s="25" t="s">
        <v>105</v>
      </c>
      <c r="G58" s="27" t="n">
        <v>420</v>
      </c>
      <c r="H58" s="25" t="s">
        <v>66</v>
      </c>
      <c r="I58" s="25" t="s">
        <v>117</v>
      </c>
      <c r="J58" s="27" t="n">
        <v>1</v>
      </c>
      <c r="K58" s="25" t="s">
        <v>252</v>
      </c>
      <c r="L58" s="25" t="s">
        <v>97</v>
      </c>
      <c r="M58" s="31" t="n">
        <f aca="false">G58*J58</f>
        <v>420</v>
      </c>
      <c r="N58" s="12"/>
      <c r="O58" s="28" t="str">
        <f aca="false">IF(OR(A58="",D58="",F58="",G58="",H58="",I58="",J58="",K58="",L58=""),"BLOCKING",IF(OR(G58&lt;0,J58&lt;=0),"BLOCKING","OK"))</f>
        <v>OK</v>
      </c>
    </row>
    <row r="59" customFormat="false" ht="15" hidden="false" customHeight="false" outlineLevel="0" collapsed="false">
      <c r="A59" s="25" t="s">
        <v>285</v>
      </c>
      <c r="B59" s="25" t="n">
        <v>3</v>
      </c>
      <c r="C59" s="25" t="s">
        <v>64</v>
      </c>
      <c r="D59" s="25" t="s">
        <v>255</v>
      </c>
      <c r="E59" s="25" t="s">
        <v>256</v>
      </c>
      <c r="F59" s="25" t="s">
        <v>105</v>
      </c>
      <c r="G59" s="27" t="n">
        <v>110</v>
      </c>
      <c r="H59" s="25" t="s">
        <v>66</v>
      </c>
      <c r="I59" s="25" t="s">
        <v>117</v>
      </c>
      <c r="J59" s="27" t="n">
        <v>1</v>
      </c>
      <c r="K59" s="25" t="s">
        <v>252</v>
      </c>
      <c r="L59" s="25" t="s">
        <v>97</v>
      </c>
      <c r="M59" s="31" t="n">
        <f aca="false">G59*J59</f>
        <v>110</v>
      </c>
      <c r="N59" s="12"/>
      <c r="O59" s="28" t="str">
        <f aca="false">IF(OR(A59="",D59="",F59="",G59="",H59="",I59="",J59="",K59="",L59=""),"BLOCKING",IF(OR(G59&lt;0,J59&lt;=0),"BLOCKING","OK"))</f>
        <v>OK</v>
      </c>
    </row>
    <row r="60" customFormat="false" ht="15" hidden="false" customHeight="false" outlineLevel="0" collapsed="false">
      <c r="A60" s="25" t="s">
        <v>285</v>
      </c>
      <c r="B60" s="25" t="n">
        <v>4</v>
      </c>
      <c r="C60" s="25" t="s">
        <v>64</v>
      </c>
      <c r="D60" s="25" t="s">
        <v>257</v>
      </c>
      <c r="E60" s="25" t="s">
        <v>258</v>
      </c>
      <c r="F60" s="25" t="s">
        <v>116</v>
      </c>
      <c r="G60" s="27" t="n">
        <v>170</v>
      </c>
      <c r="H60" s="25" t="s">
        <v>66</v>
      </c>
      <c r="I60" s="25" t="s">
        <v>117</v>
      </c>
      <c r="J60" s="27" t="n">
        <v>1</v>
      </c>
      <c r="K60" s="25" t="s">
        <v>252</v>
      </c>
      <c r="L60" s="25" t="s">
        <v>92</v>
      </c>
      <c r="M60" s="31" t="n">
        <f aca="false">G60*J60</f>
        <v>170</v>
      </c>
      <c r="N60" s="12"/>
      <c r="O60" s="28" t="str">
        <f aca="false">IF(OR(A60="",D60="",F60="",G60="",H60="",I60="",J60="",K60="",L60=""),"BLOCKING",IF(OR(G60&lt;0,J60&lt;=0),"BLOCKING","OK"))</f>
        <v>OK</v>
      </c>
    </row>
    <row r="61" customFormat="false" ht="15" hidden="false" customHeight="false" outlineLevel="0" collapsed="false">
      <c r="A61" s="25" t="s">
        <v>285</v>
      </c>
      <c r="B61" s="25" t="n">
        <v>5</v>
      </c>
      <c r="C61" s="25" t="s">
        <v>64</v>
      </c>
      <c r="D61" s="25" t="s">
        <v>259</v>
      </c>
      <c r="E61" s="25" t="s">
        <v>260</v>
      </c>
      <c r="F61" s="25" t="s">
        <v>116</v>
      </c>
      <c r="G61" s="27" t="n">
        <v>70</v>
      </c>
      <c r="H61" s="25" t="s">
        <v>66</v>
      </c>
      <c r="I61" s="25" t="s">
        <v>106</v>
      </c>
      <c r="J61" s="27" t="n">
        <v>1</v>
      </c>
      <c r="K61" s="25" t="s">
        <v>252</v>
      </c>
      <c r="L61" s="25" t="s">
        <v>92</v>
      </c>
      <c r="M61" s="31" t="n">
        <f aca="false">G61*J61</f>
        <v>70</v>
      </c>
      <c r="N61" s="12"/>
      <c r="O61" s="28" t="str">
        <f aca="false">IF(OR(A61="",D61="",F61="",G61="",H61="",I61="",J61="",K61="",L61=""),"BLOCKING",IF(OR(G61&lt;0,J61&lt;=0),"BLOCKING","OK"))</f>
        <v>OK</v>
      </c>
    </row>
    <row r="62" customFormat="false" ht="15" hidden="false" customHeight="false" outlineLevel="0" collapsed="false">
      <c r="A62" s="25" t="s">
        <v>285</v>
      </c>
      <c r="B62" s="25" t="n">
        <v>6</v>
      </c>
      <c r="C62" s="25" t="s">
        <v>64</v>
      </c>
      <c r="D62" s="25" t="s">
        <v>283</v>
      </c>
      <c r="E62" s="25" t="s">
        <v>284</v>
      </c>
      <c r="F62" s="25" t="s">
        <v>133</v>
      </c>
      <c r="G62" s="27" t="n">
        <v>800</v>
      </c>
      <c r="H62" s="25" t="s">
        <v>66</v>
      </c>
      <c r="I62" s="25" t="s">
        <v>98</v>
      </c>
      <c r="J62" s="27" t="n">
        <v>1</v>
      </c>
      <c r="K62" s="25" t="s">
        <v>252</v>
      </c>
      <c r="L62" s="25" t="s">
        <v>92</v>
      </c>
      <c r="M62" s="31" t="n">
        <f aca="false">G62*J62</f>
        <v>800</v>
      </c>
      <c r="N62" s="12"/>
      <c r="O62" s="28" t="str">
        <f aca="false">IF(OR(A62="",D62="",F62="",G62="",H62="",I62="",J62="",K62="",L62=""),"BLOCKING",IF(OR(G62&lt;0,J62&lt;=0),"BLOCKING","OK"))</f>
        <v>OK</v>
      </c>
    </row>
  </sheetData>
  <conditionalFormatting sqref="O2:O62">
    <cfRule type="containsText" priority="2" operator="containsText" aboveAverage="0" equalAverage="0" bottom="0" percent="0" rank="0" text="BLOCKING" dxfId="11">
      <formula>NOT(ISERROR(SEARCH("BLOCKING",O2)))</formula>
    </cfRule>
    <cfRule type="containsText" priority="3" operator="containsText" aboveAverage="0" equalAverage="0" bottom="0" percent="0" rank="0" text="WARNING" dxfId="12">
      <formula>NOT(ISERROR(SEARCH("WARNING",O2)))</formula>
    </cfRule>
    <cfRule type="containsText" priority="4" operator="containsText" aboveAverage="0" equalAverage="0" bottom="0" percent="0" rank="0" text="OK" dxfId="13">
      <formula>NOT(ISERROR(SEARCH("OK",O2)))</formula>
    </cfRule>
  </conditionalFormatting>
  <dataValidations count="4">
    <dataValidation allowBlank="false" errorStyle="stop" operator="between" showDropDown="false" showErrorMessage="false" showInputMessage="false" sqref="F2:F62" type="list">
      <formula1>"OCEAN_BASE,FUEL_SURCHARGE,ORIGIN_LOCAL,DESTINATION_LOCAL,INLAND,CUSTOMS,INSURANCE,OTHER"</formula1>
      <formula2>0</formula2>
    </dataValidation>
    <dataValidation allowBlank="false" errorStyle="stop" operator="between" showDropDown="false" showErrorMessage="false" showInputMessage="false" sqref="I2:I62" type="list">
      <formula1>"PER_SHIPMENT,PER_BL,PER_CONTAINER,PER_TEU,PER_FEU,PER_CBM,W_M,PERCENT"</formula1>
      <formula2>0</formula2>
    </dataValidation>
    <dataValidation allowBlank="false" errorStyle="stop" operator="between" showDropDown="false" showErrorMessage="false" showInputMessage="false" sqref="K2:K62" type="list">
      <formula1>"PREPAID,COLLECT"</formula1>
      <formula2>0</formula2>
    </dataValidation>
    <dataValidation allowBlank="false" errorStyle="stop" operator="between" showDropDown="false" showErrorMessage="false" showInputMessage="false" sqref="L2:L62" type="list">
      <formula1>"Y,N"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1.48"/>
    <col collapsed="false" customWidth="true" hidden="false" outlineLevel="0" max="2" min="2" style="0" width="22.68"/>
    <col collapsed="false" customWidth="true" hidden="false" outlineLevel="0" max="3" min="3" style="0" width="21.48"/>
    <col collapsed="false" customWidth="true" hidden="false" outlineLevel="0" max="5" min="4" style="0" width="17.9"/>
    <col collapsed="false" customWidth="true" hidden="false" outlineLevel="0" max="6" min="6" style="0" width="35.81"/>
    <col collapsed="false" customWidth="true" hidden="false" outlineLevel="0" max="7" min="7" style="0" width="16.71"/>
    <col collapsed="false" customWidth="true" hidden="false" outlineLevel="0" max="8" min="8" style="0" width="28.65"/>
    <col collapsed="false" customWidth="true" hidden="false" outlineLevel="0" max="10" min="9" style="0" width="19.1"/>
    <col collapsed="false" customWidth="true" hidden="false" outlineLevel="0" max="11" min="11" style="0" width="15.51"/>
    <col collapsed="false" customWidth="true" hidden="false" outlineLevel="0" max="12" min="12" style="0" width="26.26"/>
    <col collapsed="false" customWidth="true" hidden="false" outlineLevel="0" max="13" min="13" style="0" width="20.29"/>
    <col collapsed="false" customWidth="true" hidden="false" outlineLevel="0" max="16" min="14" style="0" width="17.9"/>
    <col collapsed="false" customWidth="true" hidden="false" outlineLevel="0" max="17" min="17" style="0" width="14.33"/>
    <col collapsed="false" customWidth="true" hidden="false" outlineLevel="0" max="18" min="18" style="0" width="26.26"/>
    <col collapsed="false" customWidth="true" hidden="false" outlineLevel="0" max="19" min="19" style="0" width="19.1"/>
    <col collapsed="false" customWidth="true" hidden="false" outlineLevel="0" max="20" min="20" style="0" width="14.33"/>
    <col collapsed="false" customWidth="true" hidden="false" outlineLevel="0" max="21" min="21" style="0" width="26.26"/>
    <col collapsed="false" customWidth="true" hidden="false" outlineLevel="0" max="22" min="22" style="0" width="19.1"/>
    <col collapsed="false" customWidth="true" hidden="false" outlineLevel="0" max="23" min="23" style="0" width="23.87"/>
    <col collapsed="false" customWidth="true" hidden="false" outlineLevel="0" max="24" min="24" style="0" width="28.65"/>
    <col collapsed="false" customWidth="true" hidden="false" outlineLevel="0" max="25" min="25" style="0" width="27.45"/>
    <col collapsed="false" customWidth="true" hidden="false" outlineLevel="0" max="26" min="26" style="0" width="21.48"/>
    <col collapsed="false" customWidth="true" hidden="false" outlineLevel="0" max="27" min="27" style="0" width="23.87"/>
    <col collapsed="false" customWidth="true" hidden="false" outlineLevel="0" max="29" min="28" style="0" width="22.68"/>
    <col collapsed="false" customWidth="true" hidden="false" outlineLevel="0" max="31" min="30" style="0" width="21.48"/>
    <col collapsed="false" customWidth="true" hidden="false" outlineLevel="0" max="32" min="32" style="0" width="54.9"/>
    <col collapsed="false" customWidth="true" hidden="false" outlineLevel="0" max="33" min="33" style="0" width="40.58"/>
  </cols>
  <sheetData>
    <row r="1" customFormat="false" ht="23.85" hidden="false" customHeight="false" outlineLevel="0" collapsed="false">
      <c r="A1" s="13" t="s">
        <v>237</v>
      </c>
      <c r="B1" s="9" t="s">
        <v>176</v>
      </c>
      <c r="C1" s="9" t="s">
        <v>50</v>
      </c>
      <c r="D1" s="9" t="s">
        <v>286</v>
      </c>
      <c r="E1" s="9" t="s">
        <v>287</v>
      </c>
      <c r="F1" s="9" t="s">
        <v>288</v>
      </c>
      <c r="G1" s="9" t="s">
        <v>289</v>
      </c>
      <c r="H1" s="9" t="s">
        <v>290</v>
      </c>
      <c r="I1" s="9" t="s">
        <v>181</v>
      </c>
      <c r="J1" s="9" t="s">
        <v>182</v>
      </c>
      <c r="K1" s="9" t="s">
        <v>87</v>
      </c>
      <c r="L1" s="9" t="s">
        <v>77</v>
      </c>
      <c r="M1" s="9" t="s">
        <v>183</v>
      </c>
      <c r="N1" s="9" t="s">
        <v>291</v>
      </c>
      <c r="O1" s="9" t="s">
        <v>292</v>
      </c>
      <c r="P1" s="9" t="s">
        <v>293</v>
      </c>
      <c r="Q1" s="9" t="s">
        <v>294</v>
      </c>
      <c r="R1" s="9" t="s">
        <v>295</v>
      </c>
      <c r="S1" s="9" t="s">
        <v>296</v>
      </c>
      <c r="T1" s="9" t="s">
        <v>243</v>
      </c>
      <c r="U1" s="9" t="s">
        <v>297</v>
      </c>
      <c r="V1" s="9" t="s">
        <v>298</v>
      </c>
      <c r="W1" s="9" t="s">
        <v>299</v>
      </c>
      <c r="X1" s="9" t="s">
        <v>300</v>
      </c>
      <c r="Y1" s="9" t="s">
        <v>301</v>
      </c>
      <c r="Z1" s="9" t="s">
        <v>200</v>
      </c>
      <c r="AA1" s="9" t="s">
        <v>302</v>
      </c>
      <c r="AB1" s="9" t="s">
        <v>303</v>
      </c>
      <c r="AC1" s="9" t="s">
        <v>304</v>
      </c>
      <c r="AD1" s="9" t="s">
        <v>305</v>
      </c>
      <c r="AE1" s="9" t="s">
        <v>197</v>
      </c>
      <c r="AF1" s="9" t="s">
        <v>198</v>
      </c>
      <c r="AG1" s="14" t="s">
        <v>62</v>
      </c>
    </row>
    <row r="2" customFormat="false" ht="15" hidden="false" customHeight="false" outlineLevel="0" collapsed="false">
      <c r="A2" s="15" t="s">
        <v>249</v>
      </c>
      <c r="B2" s="15" t="s">
        <v>201</v>
      </c>
      <c r="C2" s="15" t="s">
        <v>64</v>
      </c>
      <c r="D2" s="21" t="n">
        <v>46213</v>
      </c>
      <c r="E2" s="21" t="n">
        <v>46218</v>
      </c>
      <c r="F2" s="16" t="s">
        <v>306</v>
      </c>
      <c r="G2" s="15" t="s">
        <v>307</v>
      </c>
      <c r="H2" s="15" t="s">
        <v>308</v>
      </c>
      <c r="I2" s="15" t="s">
        <v>67</v>
      </c>
      <c r="J2" s="15" t="s">
        <v>93</v>
      </c>
      <c r="K2" s="15" t="s">
        <v>101</v>
      </c>
      <c r="L2" s="15" t="s">
        <v>112</v>
      </c>
      <c r="M2" s="15" t="n">
        <v>2</v>
      </c>
      <c r="N2" s="21" t="n">
        <v>46230</v>
      </c>
      <c r="O2" s="21" t="n">
        <v>46249</v>
      </c>
      <c r="P2" s="15" t="n">
        <f aca="false">IF(OR(N2="",O2=""),"",O2-N2)</f>
        <v>19</v>
      </c>
      <c r="Q2" s="15" t="s">
        <v>97</v>
      </c>
      <c r="R2" s="15" t="n">
        <v>0</v>
      </c>
      <c r="S2" s="22" t="n">
        <v>13900</v>
      </c>
      <c r="T2" s="15" t="s">
        <v>66</v>
      </c>
      <c r="U2" s="15" t="s">
        <v>126</v>
      </c>
      <c r="V2" s="15" t="n">
        <v>7</v>
      </c>
      <c r="W2" s="30" t="n">
        <f aca="false">SUMIF(견적비용!$A$2:$A$200,A2,견적비용!$M$2:$M$200)</f>
        <v>13900</v>
      </c>
      <c r="X2" s="30" t="n">
        <f aca="false">W2-S2</f>
        <v>0</v>
      </c>
      <c r="Y2" s="30" t="n">
        <f aca="false">SUMIFS(견적비용!$M$2:$M$200,견적비용!$A$2:$A$200,A2,견적비용!$L$2:$L$200,"Y")</f>
        <v>13460</v>
      </c>
      <c r="Z2" s="23" t="str">
        <f aca="false">IFERROR(VLOOKUP(B2,선적계획!$A$2:$AF$100,32,FALSE()),"")</f>
        <v>KUWI</v>
      </c>
      <c r="AA2" s="30" t="n">
        <f aca="false">IFERROR(VLOOKUP(Z2,시장스냅샷!$E$2:$G$20,3,FALSE()),"")</f>
        <v>6922</v>
      </c>
      <c r="AB2" s="32" t="n">
        <f aca="false">IF(IFERROR(VLOOKUP(B2,선적계획!$A$2:$AE$100,31,FALSE()),"")&lt;&gt;"DIRECT","",IFERROR((Y2/M2-AA2)/AA2,""))</f>
        <v>-0.02773764807859</v>
      </c>
      <c r="AC2" s="32" t="n">
        <f aca="false">IF(U2&lt;&gt;IFERROR(VLOOKUP(B2,선적계획!$A$2:$AA$100,27,FALSE()),""),"",IFERROR((S2-VLOOKUP(B2,선적계획!$A$2:$Y$100,25,FALSE()))/VLOOKUP(B2,선적계획!$A$2:$Y$100,25,FALSE()),""))</f>
        <v>-0.00714285714285714</v>
      </c>
      <c r="AD2" s="23" t="str">
        <f aca="false">IF(IFERROR(VLOOKUP(B2,선적계획!$A$2:$AE$100,31,FALSE()),"")="DIRECT",IF(Y2&gt;0,"DIRECT","PARTIAL"),IF(IFERROR(VLOOKUP(B2,선적계획!$A$2:$AE$100,31,FALSE()),"")="NO_CONTROL","NO_CONTROL","UNSUPPORTED"))</f>
        <v>DIRECT</v>
      </c>
      <c r="AE2" s="23" t="str">
        <f aca="true">IF(OR(A2="",B2="",D2="",E2="",F2="",I2="",J2="",S2="",T2="",U2="",W2=0),"BLOCKING",IF(ABS(X2)&gt;0.01,"BLOCKING",IF(OR(E2&lt;TODAY(),AD2&lt;&gt;"DIRECT"),"WARNING","OK")))</f>
        <v>OK</v>
      </c>
      <c r="AF2" s="24" t="str">
        <f aca="true">IF(AE2="BLOCKING","필수값 또는 견적 총액·비용라인 대사를 확인하세요.",IF(E2&lt;TODAY(),"견적 유효기간이 만료되었습니다.",IF(AD2="NO_CONTROL","바이어 부킹 거래입니다.",IF(AD2="UNSUPPORTED","KCCI 직접 비교 대상이 아닙니다.","검증 통과"))))</f>
        <v>검증 통과</v>
      </c>
      <c r="AG2" s="11" t="s">
        <v>309</v>
      </c>
    </row>
    <row r="3" customFormat="false" ht="15" hidden="false" customHeight="false" outlineLevel="0" collapsed="false">
      <c r="A3" s="25" t="s">
        <v>261</v>
      </c>
      <c r="B3" s="25" t="s">
        <v>201</v>
      </c>
      <c r="C3" s="25" t="s">
        <v>64</v>
      </c>
      <c r="D3" s="26" t="n">
        <v>46214</v>
      </c>
      <c r="E3" s="26" t="n">
        <v>46219</v>
      </c>
      <c r="F3" s="33" t="s">
        <v>310</v>
      </c>
      <c r="G3" s="25" t="s">
        <v>311</v>
      </c>
      <c r="H3" s="25" t="s">
        <v>312</v>
      </c>
      <c r="I3" s="25" t="s">
        <v>67</v>
      </c>
      <c r="J3" s="25" t="s">
        <v>93</v>
      </c>
      <c r="K3" s="25" t="s">
        <v>101</v>
      </c>
      <c r="L3" s="25" t="s">
        <v>112</v>
      </c>
      <c r="M3" s="25" t="n">
        <v>2</v>
      </c>
      <c r="N3" s="26" t="n">
        <v>46232</v>
      </c>
      <c r="O3" s="26" t="n">
        <v>46252</v>
      </c>
      <c r="P3" s="25" t="n">
        <f aca="false">IF(OR(N3="",O3=""),"",O3-N3)</f>
        <v>20</v>
      </c>
      <c r="Q3" s="25" t="s">
        <v>97</v>
      </c>
      <c r="R3" s="25" t="n">
        <v>0</v>
      </c>
      <c r="S3" s="27" t="n">
        <v>14470</v>
      </c>
      <c r="T3" s="25" t="s">
        <v>66</v>
      </c>
      <c r="U3" s="25" t="s">
        <v>126</v>
      </c>
      <c r="V3" s="25" t="n">
        <v>10</v>
      </c>
      <c r="W3" s="31" t="n">
        <f aca="false">SUMIF(견적비용!$A$2:$A$200,A3,견적비용!$M$2:$M$200)</f>
        <v>14470</v>
      </c>
      <c r="X3" s="31" t="n">
        <f aca="false">W3-S3</f>
        <v>0</v>
      </c>
      <c r="Y3" s="31" t="n">
        <f aca="false">SUMIFS(견적비용!$M$2:$M$200,견적비용!$A$2:$A$200,A3,견적비용!$L$2:$L$200,"Y")</f>
        <v>14060</v>
      </c>
      <c r="Z3" s="28" t="str">
        <f aca="false">IFERROR(VLOOKUP(B3,선적계획!$A$2:$AF$100,32,FALSE()),"")</f>
        <v>KUWI</v>
      </c>
      <c r="AA3" s="31" t="n">
        <f aca="false">IFERROR(VLOOKUP(Z3,시장스냅샷!$E$2:$G$20,3,FALSE()),"")</f>
        <v>6922</v>
      </c>
      <c r="AB3" s="34" t="n">
        <f aca="false">IF(IFERROR(VLOOKUP(B3,선적계획!$A$2:$AE$100,31,FALSE()),"")&lt;&gt;"DIRECT","",IFERROR((Y3/M3-AA3)/AA3,""))</f>
        <v>0.0156024270442069</v>
      </c>
      <c r="AC3" s="34" t="n">
        <f aca="false">IF(U3&lt;&gt;IFERROR(VLOOKUP(B3,선적계획!$A$2:$AA$100,27,FALSE()),""),"",IFERROR((S3-VLOOKUP(B3,선적계획!$A$2:$Y$100,25,FALSE()))/VLOOKUP(B3,선적계획!$A$2:$Y$100,25,FALSE()),""))</f>
        <v>0.0335714285714286</v>
      </c>
      <c r="AD3" s="28" t="str">
        <f aca="false">IF(IFERROR(VLOOKUP(B3,선적계획!$A$2:$AE$100,31,FALSE()),"")="DIRECT",IF(Y3&gt;0,"DIRECT","PARTIAL"),IF(IFERROR(VLOOKUP(B3,선적계획!$A$2:$AE$100,31,FALSE()),"")="NO_CONTROL","NO_CONTROL","UNSUPPORTED"))</f>
        <v>DIRECT</v>
      </c>
      <c r="AE3" s="28" t="str">
        <f aca="true">IF(OR(A3="",B3="",D3="",E3="",F3="",I3="",J3="",S3="",T3="",U3="",W3=0),"BLOCKING",IF(ABS(X3)&gt;0.01,"BLOCKING",IF(OR(E3&lt;TODAY(),AD3&lt;&gt;"DIRECT"),"WARNING","OK")))</f>
        <v>OK</v>
      </c>
      <c r="AF3" s="29" t="str">
        <f aca="true">IF(AE3="BLOCKING","필수값 또는 견적 총액·비용라인 대사를 확인하세요.",IF(E3&lt;TODAY(),"견적 유효기간이 만료되었습니다.",IF(AD3="NO_CONTROL","바이어 부킹 거래입니다.",IF(AD3="UNSUPPORTED","KCCI 직접 비교 대상이 아닙니다.","검증 통과"))))</f>
        <v>검증 통과</v>
      </c>
      <c r="AG3" s="7" t="s">
        <v>313</v>
      </c>
    </row>
    <row r="4" customFormat="false" ht="15" hidden="false" customHeight="false" outlineLevel="0" collapsed="false">
      <c r="A4" s="25" t="s">
        <v>262</v>
      </c>
      <c r="B4" s="25" t="s">
        <v>207</v>
      </c>
      <c r="C4" s="25" t="s">
        <v>64</v>
      </c>
      <c r="D4" s="26" t="n">
        <v>46213</v>
      </c>
      <c r="E4" s="26" t="n">
        <v>46220</v>
      </c>
      <c r="F4" s="33" t="s">
        <v>306</v>
      </c>
      <c r="G4" s="25" t="s">
        <v>314</v>
      </c>
      <c r="H4" s="25" t="s">
        <v>315</v>
      </c>
      <c r="I4" s="25" t="s">
        <v>67</v>
      </c>
      <c r="J4" s="25" t="s">
        <v>130</v>
      </c>
      <c r="K4" s="25" t="s">
        <v>101</v>
      </c>
      <c r="L4" s="25" t="s">
        <v>112</v>
      </c>
      <c r="M4" s="25" t="n">
        <v>1</v>
      </c>
      <c r="N4" s="26" t="n">
        <v>46234</v>
      </c>
      <c r="O4" s="26" t="n">
        <v>46263</v>
      </c>
      <c r="P4" s="25" t="n">
        <f aca="false">IF(OR(N4="",O4=""),"",O4-N4)</f>
        <v>29</v>
      </c>
      <c r="Q4" s="25" t="s">
        <v>97</v>
      </c>
      <c r="R4" s="25" t="n">
        <v>0</v>
      </c>
      <c r="S4" s="27" t="n">
        <v>5585</v>
      </c>
      <c r="T4" s="25" t="s">
        <v>66</v>
      </c>
      <c r="U4" s="25" t="s">
        <v>126</v>
      </c>
      <c r="V4" s="25" t="n">
        <v>7</v>
      </c>
      <c r="W4" s="31" t="n">
        <f aca="false">SUMIF(견적비용!$A$2:$A$200,A4,견적비용!$M$2:$M$200)</f>
        <v>5585</v>
      </c>
      <c r="X4" s="31" t="n">
        <f aca="false">W4-S4</f>
        <v>0</v>
      </c>
      <c r="Y4" s="31" t="n">
        <f aca="false">SUMIFS(견적비용!$M$2:$M$200,견적비용!$A$2:$A$200,A4,견적비용!$L$2:$L$200,"Y")</f>
        <v>5250</v>
      </c>
      <c r="Z4" s="28" t="str">
        <f aca="false">IFERROR(VLOOKUP(B4,선적계획!$A$2:$AF$100,32,FALSE()),"")</f>
        <v>KNEI</v>
      </c>
      <c r="AA4" s="31" t="n">
        <f aca="false">IFERROR(VLOOKUP(Z4,시장스냅샷!$E$2:$G$20,3,FALSE()),"")</f>
        <v>5332</v>
      </c>
      <c r="AB4" s="34" t="n">
        <f aca="false">IF(IFERROR(VLOOKUP(B4,선적계획!$A$2:$AE$100,31,FALSE()),"")&lt;&gt;"DIRECT","",IFERROR((Y4/M4-AA4)/AA4,""))</f>
        <v>-0.0153788447111778</v>
      </c>
      <c r="AC4" s="34" t="n">
        <f aca="false">IF(U4&lt;&gt;IFERROR(VLOOKUP(B4,선적계획!$A$2:$AA$100,27,FALSE()),""),"",IFERROR((S4-VLOOKUP(B4,선적계획!$A$2:$Y$100,25,FALSE()))/VLOOKUP(B4,선적계획!$A$2:$Y$100,25,FALSE()),""))</f>
        <v>-0.00267857142857143</v>
      </c>
      <c r="AD4" s="28" t="str">
        <f aca="false">IF(IFERROR(VLOOKUP(B4,선적계획!$A$2:$AE$100,31,FALSE()),"")="DIRECT",IF(Y4&gt;0,"DIRECT","PARTIAL"),IF(IFERROR(VLOOKUP(B4,선적계획!$A$2:$AE$100,31,FALSE()),"")="NO_CONTROL","NO_CONTROL","UNSUPPORTED"))</f>
        <v>DIRECT</v>
      </c>
      <c r="AE4" s="28" t="str">
        <f aca="true">IF(OR(A4="",B4="",D4="",E4="",F4="",I4="",J4="",S4="",T4="",U4="",W4=0),"BLOCKING",IF(ABS(X4)&gt;0.01,"BLOCKING",IF(OR(E4&lt;TODAY(),AD4&lt;&gt;"DIRECT"),"WARNING","OK")))</f>
        <v>OK</v>
      </c>
      <c r="AF4" s="29" t="str">
        <f aca="true">IF(AE4="BLOCKING","필수값 또는 견적 총액·비용라인 대사를 확인하세요.",IF(E4&lt;TODAY(),"견적 유효기간이 만료되었습니다.",IF(AD4="NO_CONTROL","바이어 부킹 거래입니다.",IF(AD4="UNSUPPORTED","KCCI 직접 비교 대상이 아닙니다.","검증 통과"))))</f>
        <v>검증 통과</v>
      </c>
      <c r="AG4" s="7" t="s">
        <v>316</v>
      </c>
    </row>
    <row r="5" customFormat="false" ht="15" hidden="false" customHeight="false" outlineLevel="0" collapsed="false">
      <c r="A5" s="25" t="s">
        <v>265</v>
      </c>
      <c r="B5" s="25" t="s">
        <v>207</v>
      </c>
      <c r="C5" s="25" t="s">
        <v>64</v>
      </c>
      <c r="D5" s="26" t="n">
        <v>46214</v>
      </c>
      <c r="E5" s="26" t="n">
        <v>46221</v>
      </c>
      <c r="F5" s="33" t="s">
        <v>317</v>
      </c>
      <c r="G5" s="25" t="s">
        <v>318</v>
      </c>
      <c r="H5" s="25" t="s">
        <v>319</v>
      </c>
      <c r="I5" s="25" t="s">
        <v>67</v>
      </c>
      <c r="J5" s="25" t="s">
        <v>130</v>
      </c>
      <c r="K5" s="25" t="s">
        <v>101</v>
      </c>
      <c r="L5" s="25" t="s">
        <v>112</v>
      </c>
      <c r="M5" s="25" t="n">
        <v>1</v>
      </c>
      <c r="N5" s="26" t="n">
        <v>46236</v>
      </c>
      <c r="O5" s="26" t="n">
        <v>46267</v>
      </c>
      <c r="P5" s="25" t="n">
        <f aca="false">IF(OR(N5="",O5=""),"",O5-N5)</f>
        <v>31</v>
      </c>
      <c r="Q5" s="25" t="s">
        <v>97</v>
      </c>
      <c r="R5" s="25" t="n">
        <v>0</v>
      </c>
      <c r="S5" s="27" t="n">
        <v>5790</v>
      </c>
      <c r="T5" s="25" t="s">
        <v>66</v>
      </c>
      <c r="U5" s="25" t="s">
        <v>126</v>
      </c>
      <c r="V5" s="25" t="n">
        <v>10</v>
      </c>
      <c r="W5" s="31" t="n">
        <f aca="false">SUMIF(견적비용!$A$2:$A$200,A5,견적비용!$M$2:$M$200)</f>
        <v>5790</v>
      </c>
      <c r="X5" s="31" t="n">
        <f aca="false">W5-S5</f>
        <v>0</v>
      </c>
      <c r="Y5" s="31" t="n">
        <f aca="false">SUMIFS(견적비용!$M$2:$M$200,견적비용!$A$2:$A$200,A5,견적비용!$L$2:$L$200,"Y")</f>
        <v>5470</v>
      </c>
      <c r="Z5" s="28" t="str">
        <f aca="false">IFERROR(VLOOKUP(B5,선적계획!$A$2:$AF$100,32,FALSE()),"")</f>
        <v>KNEI</v>
      </c>
      <c r="AA5" s="31" t="n">
        <f aca="false">IFERROR(VLOOKUP(Z5,시장스냅샷!$E$2:$G$20,3,FALSE()),"")</f>
        <v>5332</v>
      </c>
      <c r="AB5" s="34" t="n">
        <f aca="false">IF(IFERROR(VLOOKUP(B5,선적계획!$A$2:$AE$100,31,FALSE()),"")&lt;&gt;"DIRECT","",IFERROR((Y5/M5-AA5)/AA5,""))</f>
        <v>0.0258814703675919</v>
      </c>
      <c r="AC5" s="34" t="n">
        <f aca="false">IF(U5&lt;&gt;IFERROR(VLOOKUP(B5,선적계획!$A$2:$AA$100,27,FALSE()),""),"",IFERROR((S5-VLOOKUP(B5,선적계획!$A$2:$Y$100,25,FALSE()))/VLOOKUP(B5,선적계획!$A$2:$Y$100,25,FALSE()),""))</f>
        <v>0.0339285714285714</v>
      </c>
      <c r="AD5" s="28" t="str">
        <f aca="false">IF(IFERROR(VLOOKUP(B5,선적계획!$A$2:$AE$100,31,FALSE()),"")="DIRECT",IF(Y5&gt;0,"DIRECT","PARTIAL"),IF(IFERROR(VLOOKUP(B5,선적계획!$A$2:$AE$100,31,FALSE()),"")="NO_CONTROL","NO_CONTROL","UNSUPPORTED"))</f>
        <v>DIRECT</v>
      </c>
      <c r="AE5" s="28" t="str">
        <f aca="true">IF(OR(A5="",B5="",D5="",E5="",F5="",I5="",J5="",S5="",T5="",U5="",W5=0),"BLOCKING",IF(ABS(X5)&gt;0.01,"BLOCKING",IF(OR(E5&lt;TODAY(),AD5&lt;&gt;"DIRECT"),"WARNING","OK")))</f>
        <v>OK</v>
      </c>
      <c r="AF5" s="29" t="str">
        <f aca="true">IF(AE5="BLOCKING","필수값 또는 견적 총액·비용라인 대사를 확인하세요.",IF(E5&lt;TODAY(),"견적 유효기간이 만료되었습니다.",IF(AD5="NO_CONTROL","바이어 부킹 거래입니다.",IF(AD5="UNSUPPORTED","KCCI 직접 비교 대상이 아닙니다.","검증 통과"))))</f>
        <v>검증 통과</v>
      </c>
      <c r="AG5" s="7" t="s">
        <v>320</v>
      </c>
    </row>
    <row r="6" customFormat="false" ht="15" hidden="false" customHeight="false" outlineLevel="0" collapsed="false">
      <c r="A6" s="25" t="s">
        <v>266</v>
      </c>
      <c r="B6" s="25" t="s">
        <v>212</v>
      </c>
      <c r="C6" s="25" t="s">
        <v>64</v>
      </c>
      <c r="D6" s="26" t="n">
        <v>46212</v>
      </c>
      <c r="E6" s="26" t="n">
        <v>46218</v>
      </c>
      <c r="F6" s="33" t="s">
        <v>310</v>
      </c>
      <c r="G6" s="25" t="s">
        <v>321</v>
      </c>
      <c r="H6" s="25" t="s">
        <v>322</v>
      </c>
      <c r="I6" s="25" t="s">
        <v>67</v>
      </c>
      <c r="J6" s="25" t="s">
        <v>158</v>
      </c>
      <c r="K6" s="25" t="s">
        <v>101</v>
      </c>
      <c r="L6" s="25" t="s">
        <v>103</v>
      </c>
      <c r="M6" s="25" t="n">
        <v>1</v>
      </c>
      <c r="N6" s="26" t="n">
        <v>46225</v>
      </c>
      <c r="O6" s="26" t="n">
        <v>46237</v>
      </c>
      <c r="P6" s="25" t="n">
        <f aca="false">IF(OR(N6="",O6=""),"",O6-N6)</f>
        <v>12</v>
      </c>
      <c r="Q6" s="25" t="s">
        <v>97</v>
      </c>
      <c r="R6" s="25" t="n">
        <v>0</v>
      </c>
      <c r="S6" s="27" t="n">
        <v>1260</v>
      </c>
      <c r="T6" s="25" t="s">
        <v>66</v>
      </c>
      <c r="U6" s="25" t="s">
        <v>126</v>
      </c>
      <c r="V6" s="25" t="n">
        <v>7</v>
      </c>
      <c r="W6" s="31" t="n">
        <f aca="false">SUMIF(견적비용!$A$2:$A$200,A6,견적비용!$M$2:$M$200)</f>
        <v>1260</v>
      </c>
      <c r="X6" s="31" t="n">
        <f aca="false">W6-S6</f>
        <v>0</v>
      </c>
      <c r="Y6" s="31" t="n">
        <f aca="false">SUMIFS(견적비용!$M$2:$M$200,견적비용!$A$2:$A$200,A6,견적비용!$L$2:$L$200,"Y")</f>
        <v>1020</v>
      </c>
      <c r="Z6" s="28" t="str">
        <f aca="false">IFERROR(VLOOKUP(B6,선적계획!$A$2:$AF$100,32,FALSE()),"")</f>
        <v>KSEI</v>
      </c>
      <c r="AA6" s="31" t="n">
        <f aca="false">IFERROR(VLOOKUP(Z6,시장스냅샷!$E$2:$G$20,3,FALSE()),"")</f>
        <v>1125</v>
      </c>
      <c r="AB6" s="34" t="n">
        <f aca="false">IF(IFERROR(VLOOKUP(B6,선적계획!$A$2:$AE$100,31,FALSE()),"")&lt;&gt;"DIRECT","",IFERROR((Y6/M6-AA6)/AA6,""))</f>
        <v>-0.0933333333333333</v>
      </c>
      <c r="AC6" s="34" t="n">
        <f aca="false">IF(U6&lt;&gt;IFERROR(VLOOKUP(B6,선적계획!$A$2:$AA$100,27,FALSE()),""),"",IFERROR((S6-VLOOKUP(B6,선적계획!$A$2:$Y$100,25,FALSE()))/VLOOKUP(B6,선적계획!$A$2:$Y$100,25,FALSE()),""))</f>
        <v>-0.015625</v>
      </c>
      <c r="AD6" s="28" t="str">
        <f aca="false">IF(IFERROR(VLOOKUP(B6,선적계획!$A$2:$AE$100,31,FALSE()),"")="DIRECT",IF(Y6&gt;0,"DIRECT","PARTIAL"),IF(IFERROR(VLOOKUP(B6,선적계획!$A$2:$AE$100,31,FALSE()),"")="NO_CONTROL","NO_CONTROL","UNSUPPORTED"))</f>
        <v>DIRECT</v>
      </c>
      <c r="AE6" s="28" t="str">
        <f aca="true">IF(OR(A6="",B6="",D6="",E6="",F6="",I6="",J6="",S6="",T6="",U6="",W6=0),"BLOCKING",IF(ABS(X6)&gt;0.01,"BLOCKING",IF(OR(E6&lt;TODAY(),AD6&lt;&gt;"DIRECT"),"WARNING","OK")))</f>
        <v>OK</v>
      </c>
      <c r="AF6" s="29" t="str">
        <f aca="true">IF(AE6="BLOCKING","필수값 또는 견적 총액·비용라인 대사를 확인하세요.",IF(E6&lt;TODAY(),"견적 유효기간이 만료되었습니다.",IF(AD6="NO_CONTROL","바이어 부킹 거래입니다.",IF(AD6="UNSUPPORTED","KCCI 직접 비교 대상이 아닙니다.","검증 통과"))))</f>
        <v>검증 통과</v>
      </c>
      <c r="AG6" s="7" t="s">
        <v>323</v>
      </c>
    </row>
    <row r="7" customFormat="false" ht="15" hidden="false" customHeight="false" outlineLevel="0" collapsed="false">
      <c r="A7" s="25" t="s">
        <v>267</v>
      </c>
      <c r="B7" s="25" t="s">
        <v>212</v>
      </c>
      <c r="C7" s="25" t="s">
        <v>64</v>
      </c>
      <c r="D7" s="26" t="n">
        <v>46213</v>
      </c>
      <c r="E7" s="26" t="n">
        <v>46219</v>
      </c>
      <c r="F7" s="33" t="s">
        <v>306</v>
      </c>
      <c r="G7" s="25" t="s">
        <v>324</v>
      </c>
      <c r="H7" s="25" t="s">
        <v>325</v>
      </c>
      <c r="I7" s="25" t="s">
        <v>67</v>
      </c>
      <c r="J7" s="25" t="s">
        <v>158</v>
      </c>
      <c r="K7" s="25" t="s">
        <v>101</v>
      </c>
      <c r="L7" s="25" t="s">
        <v>103</v>
      </c>
      <c r="M7" s="25" t="n">
        <v>1</v>
      </c>
      <c r="N7" s="26" t="n">
        <v>46227</v>
      </c>
      <c r="O7" s="26" t="n">
        <v>46239</v>
      </c>
      <c r="P7" s="25" t="n">
        <f aca="false">IF(OR(N7="",O7=""),"",O7-N7)</f>
        <v>12</v>
      </c>
      <c r="Q7" s="25" t="s">
        <v>97</v>
      </c>
      <c r="R7" s="25" t="n">
        <v>0</v>
      </c>
      <c r="S7" s="27" t="n">
        <v>1310</v>
      </c>
      <c r="T7" s="25" t="s">
        <v>66</v>
      </c>
      <c r="U7" s="25" t="s">
        <v>126</v>
      </c>
      <c r="V7" s="25" t="n">
        <v>7</v>
      </c>
      <c r="W7" s="31" t="n">
        <f aca="false">SUMIF(견적비용!$A$2:$A$200,A7,견적비용!$M$2:$M$200)</f>
        <v>1310</v>
      </c>
      <c r="X7" s="31" t="n">
        <f aca="false">W7-S7</f>
        <v>0</v>
      </c>
      <c r="Y7" s="31" t="n">
        <f aca="false">SUMIFS(견적비용!$M$2:$M$200,견적비용!$A$2:$A$200,A7,견적비용!$L$2:$L$200,"Y")</f>
        <v>1100</v>
      </c>
      <c r="Z7" s="28" t="str">
        <f aca="false">IFERROR(VLOOKUP(B7,선적계획!$A$2:$AF$100,32,FALSE()),"")</f>
        <v>KSEI</v>
      </c>
      <c r="AA7" s="31" t="n">
        <f aca="false">IFERROR(VLOOKUP(Z7,시장스냅샷!$E$2:$G$20,3,FALSE()),"")</f>
        <v>1125</v>
      </c>
      <c r="AB7" s="34" t="n">
        <f aca="false">IF(IFERROR(VLOOKUP(B7,선적계획!$A$2:$AE$100,31,FALSE()),"")&lt;&gt;"DIRECT","",IFERROR((Y7/M7-AA7)/AA7,""))</f>
        <v>-0.0222222222222222</v>
      </c>
      <c r="AC7" s="34" t="n">
        <f aca="false">IF(U7&lt;&gt;IFERROR(VLOOKUP(B7,선적계획!$A$2:$AA$100,27,FALSE()),""),"",IFERROR((S7-VLOOKUP(B7,선적계획!$A$2:$Y$100,25,FALSE()))/VLOOKUP(B7,선적계획!$A$2:$Y$100,25,FALSE()),""))</f>
        <v>0.0234375</v>
      </c>
      <c r="AD7" s="28" t="str">
        <f aca="false">IF(IFERROR(VLOOKUP(B7,선적계획!$A$2:$AE$100,31,FALSE()),"")="DIRECT",IF(Y7&gt;0,"DIRECT","PARTIAL"),IF(IFERROR(VLOOKUP(B7,선적계획!$A$2:$AE$100,31,FALSE()),"")="NO_CONTROL","NO_CONTROL","UNSUPPORTED"))</f>
        <v>DIRECT</v>
      </c>
      <c r="AE7" s="28" t="str">
        <f aca="true">IF(OR(A7="",B7="",D7="",E7="",F7="",I7="",J7="",S7="",T7="",U7="",W7=0),"BLOCKING",IF(ABS(X7)&gt;0.01,"BLOCKING",IF(OR(E7&lt;TODAY(),AD7&lt;&gt;"DIRECT"),"WARNING","OK")))</f>
        <v>OK</v>
      </c>
      <c r="AF7" s="29" t="str">
        <f aca="true">IF(AE7="BLOCKING","필수값 또는 견적 총액·비용라인 대사를 확인하세요.",IF(E7&lt;TODAY(),"견적 유효기간이 만료되었습니다.",IF(AD7="NO_CONTROL","바이어 부킹 거래입니다.",IF(AD7="UNSUPPORTED","KCCI 직접 비교 대상이 아닙니다.","검증 통과"))))</f>
        <v>검증 통과</v>
      </c>
      <c r="AG7" s="7" t="s">
        <v>326</v>
      </c>
    </row>
    <row r="8" customFormat="false" ht="15" hidden="false" customHeight="false" outlineLevel="0" collapsed="false">
      <c r="A8" s="25" t="s">
        <v>268</v>
      </c>
      <c r="B8" s="25" t="s">
        <v>216</v>
      </c>
      <c r="C8" s="25" t="s">
        <v>64</v>
      </c>
      <c r="D8" s="26" t="n">
        <v>46213</v>
      </c>
      <c r="E8" s="26" t="n">
        <v>46220</v>
      </c>
      <c r="F8" s="33" t="s">
        <v>317</v>
      </c>
      <c r="G8" s="25" t="s">
        <v>327</v>
      </c>
      <c r="H8" s="25" t="s">
        <v>328</v>
      </c>
      <c r="I8" s="25" t="s">
        <v>67</v>
      </c>
      <c r="J8" s="25" t="s">
        <v>163</v>
      </c>
      <c r="K8" s="25" t="s">
        <v>101</v>
      </c>
      <c r="L8" s="25" t="s">
        <v>91</v>
      </c>
      <c r="M8" s="25" t="n">
        <v>1</v>
      </c>
      <c r="N8" s="26" t="n">
        <v>46226</v>
      </c>
      <c r="O8" s="26" t="n">
        <v>46230</v>
      </c>
      <c r="P8" s="25" t="n">
        <f aca="false">IF(OR(N8="",O8=""),"",O8-N8)</f>
        <v>4</v>
      </c>
      <c r="Q8" s="25" t="s">
        <v>97</v>
      </c>
      <c r="R8" s="25" t="n">
        <v>0</v>
      </c>
      <c r="S8" s="27" t="n">
        <v>600</v>
      </c>
      <c r="T8" s="25" t="s">
        <v>66</v>
      </c>
      <c r="U8" s="25" t="s">
        <v>126</v>
      </c>
      <c r="V8" s="25" t="n">
        <v>5</v>
      </c>
      <c r="W8" s="31" t="n">
        <f aca="false">SUMIF(견적비용!$A$2:$A$200,A8,견적비용!$M$2:$M$200)</f>
        <v>600</v>
      </c>
      <c r="X8" s="31" t="n">
        <f aca="false">W8-S8</f>
        <v>0</v>
      </c>
      <c r="Y8" s="31" t="n">
        <f aca="false">SUMIFS(견적비용!$M$2:$M$200,견적비용!$A$2:$A$200,A8,견적비용!$L$2:$L$200,"Y")</f>
        <v>0</v>
      </c>
      <c r="Z8" s="28" t="str">
        <f aca="false">IFERROR(VLOOKUP(B8,선적계획!$A$2:$AF$100,32,FALSE()),"")</f>
        <v>KJI</v>
      </c>
      <c r="AA8" s="31" t="n">
        <f aca="false">IFERROR(VLOOKUP(Z8,시장스냅샷!$E$2:$G$20,3,FALSE()),"")</f>
        <v>239</v>
      </c>
      <c r="AB8" s="34" t="str">
        <f aca="false">IF(IFERROR(VLOOKUP(B8,선적계획!$A$2:$AE$100,31,FALSE()),"")&lt;&gt;"DIRECT","",IFERROR((Y8/M8-AA8)/AA8,""))</f>
        <v/>
      </c>
      <c r="AC8" s="34" t="n">
        <f aca="false">IF(U8&lt;&gt;IFERROR(VLOOKUP(B8,선적계획!$A$2:$AA$100,27,FALSE()),""),"",IFERROR((S8-VLOOKUP(B8,선적계획!$A$2:$Y$100,25,FALSE()))/VLOOKUP(B8,선적계획!$A$2:$Y$100,25,FALSE()),""))</f>
        <v>-0.032258064516129</v>
      </c>
      <c r="AD8" s="28" t="str">
        <f aca="false">IF(IFERROR(VLOOKUP(B8,선적계획!$A$2:$AE$100,31,FALSE()),"")="DIRECT",IF(Y8&gt;0,"DIRECT","PARTIAL"),IF(IFERROR(VLOOKUP(B8,선적계획!$A$2:$AE$100,31,FALSE()),"")="NO_CONTROL","NO_CONTROL","UNSUPPORTED"))</f>
        <v>UNSUPPORTED</v>
      </c>
      <c r="AE8" s="28" t="str">
        <f aca="true">IF(OR(A8="",B8="",D8="",E8="",F8="",I8="",J8="",S8="",T8="",U8="",W8=0),"BLOCKING",IF(ABS(X8)&gt;0.01,"BLOCKING",IF(OR(E8&lt;TODAY(),AD8&lt;&gt;"DIRECT"),"WARNING","OK")))</f>
        <v>WARNING</v>
      </c>
      <c r="AF8" s="29" t="str">
        <f aca="true">IF(AE8="BLOCKING","필수값 또는 견적 총액·비용라인 대사를 확인하세요.",IF(E8&lt;TODAY(),"견적 유효기간이 만료되었습니다.",IF(AD8="NO_CONTROL","바이어 부킹 거래입니다.",IF(AD8="UNSUPPORTED","KCCI 직접 비교 대상이 아닙니다.","검증 통과"))))</f>
        <v>KCCI 직접 비교 대상이 아닙니다.</v>
      </c>
      <c r="AG8" s="8" t="s">
        <v>329</v>
      </c>
    </row>
    <row r="9" customFormat="false" ht="15" hidden="false" customHeight="false" outlineLevel="0" collapsed="false">
      <c r="A9" s="25" t="s">
        <v>270</v>
      </c>
      <c r="B9" s="25" t="s">
        <v>220</v>
      </c>
      <c r="C9" s="25" t="s">
        <v>64</v>
      </c>
      <c r="D9" s="26" t="n">
        <v>46214</v>
      </c>
      <c r="E9" s="26" t="n">
        <v>46221</v>
      </c>
      <c r="F9" s="33" t="s">
        <v>330</v>
      </c>
      <c r="G9" s="25" t="s">
        <v>331</v>
      </c>
      <c r="H9" s="25" t="s">
        <v>332</v>
      </c>
      <c r="I9" s="25" t="s">
        <v>67</v>
      </c>
      <c r="J9" s="25" t="s">
        <v>138</v>
      </c>
      <c r="K9" s="25" t="s">
        <v>101</v>
      </c>
      <c r="L9" s="25" t="s">
        <v>129</v>
      </c>
      <c r="M9" s="25" t="n">
        <v>1</v>
      </c>
      <c r="N9" s="26" t="n">
        <v>46236</v>
      </c>
      <c r="O9" s="26" t="n">
        <v>46266</v>
      </c>
      <c r="P9" s="25" t="n">
        <f aca="false">IF(OR(N9="",O9=""),"",O9-N9)</f>
        <v>30</v>
      </c>
      <c r="Q9" s="25" t="s">
        <v>92</v>
      </c>
      <c r="R9" s="25" t="n">
        <v>1</v>
      </c>
      <c r="S9" s="27" t="n">
        <v>8230</v>
      </c>
      <c r="T9" s="25" t="s">
        <v>66</v>
      </c>
      <c r="U9" s="25" t="s">
        <v>126</v>
      </c>
      <c r="V9" s="25" t="n">
        <v>5</v>
      </c>
      <c r="W9" s="31" t="n">
        <f aca="false">SUMIF(견적비용!$A$2:$A$200,A9,견적비용!$M$2:$M$200)</f>
        <v>8230</v>
      </c>
      <c r="X9" s="31" t="n">
        <f aca="false">W9-S9</f>
        <v>0</v>
      </c>
      <c r="Y9" s="31" t="n">
        <f aca="false">SUMIFS(견적비용!$M$2:$M$200,견적비용!$A$2:$A$200,A9,견적비용!$L$2:$L$200,"Y")</f>
        <v>0</v>
      </c>
      <c r="Z9" s="28" t="str">
        <f aca="false">IFERROR(VLOOKUP(B9,선적계획!$A$2:$AF$100,32,FALSE()),"")</f>
        <v>KNEI</v>
      </c>
      <c r="AA9" s="31" t="n">
        <f aca="false">IFERROR(VLOOKUP(Z9,시장스냅샷!$E$2:$G$20,3,FALSE()),"")</f>
        <v>5332</v>
      </c>
      <c r="AB9" s="34" t="str">
        <f aca="false">IF(IFERROR(VLOOKUP(B9,선적계획!$A$2:$AE$100,31,FALSE()),"")&lt;&gt;"DIRECT","",IFERROR((Y9/M9-AA9)/AA9,""))</f>
        <v/>
      </c>
      <c r="AC9" s="34" t="n">
        <f aca="false">IF(U9&lt;&gt;IFERROR(VLOOKUP(B9,선적계획!$A$2:$AA$100,27,FALSE()),""),"",IFERROR((S9-VLOOKUP(B9,선적계획!$A$2:$Y$100,25,FALSE()))/VLOOKUP(B9,선적계획!$A$2:$Y$100,25,FALSE()),""))</f>
        <v>0.02875</v>
      </c>
      <c r="AD9" s="28" t="str">
        <f aca="false">IF(IFERROR(VLOOKUP(B9,선적계획!$A$2:$AE$100,31,FALSE()),"")="DIRECT",IF(Y9&gt;0,"DIRECT","PARTIAL"),IF(IFERROR(VLOOKUP(B9,선적계획!$A$2:$AE$100,31,FALSE()),"")="NO_CONTROL","NO_CONTROL","UNSUPPORTED"))</f>
        <v>UNSUPPORTED</v>
      </c>
      <c r="AE9" s="28" t="str">
        <f aca="true">IF(OR(A9="",B9="",D9="",E9="",F9="",I9="",J9="",S9="",T9="",U9="",W9=0),"BLOCKING",IF(ABS(X9)&gt;0.01,"BLOCKING",IF(OR(E9&lt;TODAY(),AD9&lt;&gt;"DIRECT"),"WARNING","OK")))</f>
        <v>WARNING</v>
      </c>
      <c r="AF9" s="29" t="str">
        <f aca="true">IF(AE9="BLOCKING","필수값 또는 견적 총액·비용라인 대사를 확인하세요.",IF(E9&lt;TODAY(),"견적 유효기간이 만료되었습니다.",IF(AD9="NO_CONTROL","바이어 부킹 거래입니다.",IF(AD9="UNSUPPORTED","KCCI 직접 비교 대상이 아닙니다.","검증 통과"))))</f>
        <v>KCCI 직접 비교 대상이 아닙니다.</v>
      </c>
      <c r="AG9" s="8" t="s">
        <v>333</v>
      </c>
    </row>
    <row r="10" customFormat="false" ht="15" hidden="false" customHeight="false" outlineLevel="0" collapsed="false">
      <c r="A10" s="25" t="s">
        <v>274</v>
      </c>
      <c r="B10" s="25" t="s">
        <v>225</v>
      </c>
      <c r="C10" s="25" t="s">
        <v>64</v>
      </c>
      <c r="D10" s="26" t="n">
        <v>46212</v>
      </c>
      <c r="E10" s="26" t="n">
        <v>46218</v>
      </c>
      <c r="F10" s="33" t="s">
        <v>334</v>
      </c>
      <c r="G10" s="25" t="s">
        <v>335</v>
      </c>
      <c r="H10" s="25" t="s">
        <v>336</v>
      </c>
      <c r="I10" s="25" t="s">
        <v>67</v>
      </c>
      <c r="J10" s="25" t="s">
        <v>93</v>
      </c>
      <c r="K10" s="25" t="s">
        <v>109</v>
      </c>
      <c r="L10" s="25" t="s">
        <v>109</v>
      </c>
      <c r="M10" s="25"/>
      <c r="N10" s="26" t="n">
        <v>46233</v>
      </c>
      <c r="O10" s="26" t="n">
        <v>46258</v>
      </c>
      <c r="P10" s="25" t="n">
        <f aca="false">IF(OR(N10="",O10=""),"",O10-N10)</f>
        <v>25</v>
      </c>
      <c r="Q10" s="25" t="s">
        <v>92</v>
      </c>
      <c r="R10" s="25" t="n">
        <v>1</v>
      </c>
      <c r="S10" s="27" t="n">
        <v>2158</v>
      </c>
      <c r="T10" s="25" t="s">
        <v>66</v>
      </c>
      <c r="U10" s="25" t="s">
        <v>126</v>
      </c>
      <c r="V10" s="25" t="n">
        <v>3</v>
      </c>
      <c r="W10" s="31" t="n">
        <f aca="false">SUMIF(견적비용!$A$2:$A$200,A10,견적비용!$M$2:$M$200)</f>
        <v>2158</v>
      </c>
      <c r="X10" s="31" t="n">
        <f aca="false">W10-S10</f>
        <v>0</v>
      </c>
      <c r="Y10" s="31" t="n">
        <f aca="false">SUMIFS(견적비용!$M$2:$M$200,견적비용!$A$2:$A$200,A10,견적비용!$L$2:$L$200,"Y")</f>
        <v>0</v>
      </c>
      <c r="Z10" s="28" t="str">
        <f aca="false">IFERROR(VLOOKUP(B10,선적계획!$A$2:$AF$100,32,FALSE()),"")</f>
        <v>KUWI</v>
      </c>
      <c r="AA10" s="31" t="n">
        <f aca="false">IFERROR(VLOOKUP(Z10,시장스냅샷!$E$2:$G$20,3,FALSE()),"")</f>
        <v>6922</v>
      </c>
      <c r="AB10" s="34" t="str">
        <f aca="false">IF(IFERROR(VLOOKUP(B10,선적계획!$A$2:$AE$100,31,FALSE()),"")&lt;&gt;"DIRECT","",IFERROR((Y10/M10-AA10)/AA10,""))</f>
        <v/>
      </c>
      <c r="AC10" s="34" t="n">
        <f aca="false">IF(U10&lt;&gt;IFERROR(VLOOKUP(B10,선적계획!$A$2:$AA$100,27,FALSE()),""),"",IFERROR((S10-VLOOKUP(B10,선적계획!$A$2:$Y$100,25,FALSE()))/VLOOKUP(B10,선적계획!$A$2:$Y$100,25,FALSE()),""))</f>
        <v>-0.0190909090909091</v>
      </c>
      <c r="AD10" s="28" t="str">
        <f aca="false">IF(IFERROR(VLOOKUP(B10,선적계획!$A$2:$AE$100,31,FALSE()),"")="DIRECT",IF(Y10&gt;0,"DIRECT","PARTIAL"),IF(IFERROR(VLOOKUP(B10,선적계획!$A$2:$AE$100,31,FALSE()),"")="NO_CONTROL","NO_CONTROL","UNSUPPORTED"))</f>
        <v>UNSUPPORTED</v>
      </c>
      <c r="AE10" s="28" t="str">
        <f aca="true">IF(OR(A10="",B10="",D10="",E10="",F10="",I10="",J10="",S10="",T10="",U10="",W10=0),"BLOCKING",IF(ABS(X10)&gt;0.01,"BLOCKING",IF(OR(E10&lt;TODAY(),AD10&lt;&gt;"DIRECT"),"WARNING","OK")))</f>
        <v>WARNING</v>
      </c>
      <c r="AF10" s="29" t="str">
        <f aca="true">IF(AE10="BLOCKING","필수값 또는 견적 총액·비용라인 대사를 확인하세요.",IF(E10&lt;TODAY(),"견적 유효기간이 만료되었습니다.",IF(AD10="NO_CONTROL","바이어 부킹 거래입니다.",IF(AD10="UNSUPPORTED","KCCI 직접 비교 대상이 아닙니다.","검증 통과"))))</f>
        <v>KCCI 직접 비교 대상이 아닙니다.</v>
      </c>
      <c r="AG10" s="8" t="s">
        <v>337</v>
      </c>
    </row>
    <row r="11" customFormat="false" ht="15" hidden="false" customHeight="false" outlineLevel="0" collapsed="false">
      <c r="A11" s="25" t="s">
        <v>279</v>
      </c>
      <c r="B11" s="25" t="s">
        <v>229</v>
      </c>
      <c r="C11" s="25" t="s">
        <v>64</v>
      </c>
      <c r="D11" s="26" t="n">
        <v>46213</v>
      </c>
      <c r="E11" s="26" t="n">
        <v>46221</v>
      </c>
      <c r="F11" s="33" t="s">
        <v>306</v>
      </c>
      <c r="G11" s="25" t="s">
        <v>307</v>
      </c>
      <c r="H11" s="25" t="s">
        <v>308</v>
      </c>
      <c r="I11" s="25" t="s">
        <v>67</v>
      </c>
      <c r="J11" s="25" t="s">
        <v>113</v>
      </c>
      <c r="K11" s="25" t="s">
        <v>101</v>
      </c>
      <c r="L11" s="25" t="s">
        <v>112</v>
      </c>
      <c r="M11" s="25" t="n">
        <v>1</v>
      </c>
      <c r="N11" s="26" t="n">
        <v>46237</v>
      </c>
      <c r="O11" s="26" t="n">
        <v>46274</v>
      </c>
      <c r="P11" s="25" t="n">
        <f aca="false">IF(OR(N11="",O11=""),"",O11-N11)</f>
        <v>37</v>
      </c>
      <c r="Q11" s="25" t="s">
        <v>92</v>
      </c>
      <c r="R11" s="25" t="n">
        <v>1</v>
      </c>
      <c r="S11" s="27" t="n">
        <v>850</v>
      </c>
      <c r="T11" s="25" t="s">
        <v>66</v>
      </c>
      <c r="U11" s="25" t="s">
        <v>118</v>
      </c>
      <c r="V11" s="25" t="n">
        <v>7</v>
      </c>
      <c r="W11" s="31" t="n">
        <f aca="false">SUMIF(견적비용!$A$2:$A$200,A11,견적비용!$M$2:$M$200)</f>
        <v>850</v>
      </c>
      <c r="X11" s="31" t="n">
        <f aca="false">W11-S11</f>
        <v>0</v>
      </c>
      <c r="Y11" s="31" t="n">
        <f aca="false">SUMIFS(견적비용!$M$2:$M$200,견적비용!$A$2:$A$200,A11,견적비용!$L$2:$L$200,"Y")</f>
        <v>0</v>
      </c>
      <c r="Z11" s="28" t="str">
        <f aca="false">IFERROR(VLOOKUP(B11,선적계획!$A$2:$AF$100,32,FALSE()),"")</f>
        <v>KUEI</v>
      </c>
      <c r="AA11" s="31" t="n">
        <f aca="false">IFERROR(VLOOKUP(Z11,시장스냅샷!$E$2:$G$20,3,FALSE()),"")</f>
        <v>8421</v>
      </c>
      <c r="AB11" s="34" t="str">
        <f aca="false">IF(IFERROR(VLOOKUP(B11,선적계획!$A$2:$AE$100,31,FALSE()),"")&lt;&gt;"DIRECT","",IFERROR((Y11/M11-AA11)/AA11,""))</f>
        <v/>
      </c>
      <c r="AC11" s="34" t="n">
        <f aca="false">IF(U11&lt;&gt;IFERROR(VLOOKUP(B11,선적계획!$A$2:$AA$100,27,FALSE()),""),"",IFERROR((S11-VLOOKUP(B11,선적계획!$A$2:$Y$100,25,FALSE()))/VLOOKUP(B11,선적계획!$A$2:$Y$100,25,FALSE()),""))</f>
        <v>-0.0555555555555556</v>
      </c>
      <c r="AD11" s="28" t="str">
        <f aca="false">IF(IFERROR(VLOOKUP(B11,선적계획!$A$2:$AE$100,31,FALSE()),"")="DIRECT",IF(Y11&gt;0,"DIRECT","PARTIAL"),IF(IFERROR(VLOOKUP(B11,선적계획!$A$2:$AE$100,31,FALSE()),"")="NO_CONTROL","NO_CONTROL","UNSUPPORTED"))</f>
        <v>NO_CONTROL</v>
      </c>
      <c r="AE11" s="28" t="str">
        <f aca="true">IF(OR(A11="",B11="",D11="",E11="",F11="",I11="",J11="",S11="",T11="",U11="",W11=0),"BLOCKING",IF(ABS(X11)&gt;0.01,"BLOCKING",IF(OR(E11&lt;TODAY(),AD11&lt;&gt;"DIRECT"),"WARNING","OK")))</f>
        <v>WARNING</v>
      </c>
      <c r="AF11" s="29" t="str">
        <f aca="true">IF(AE11="BLOCKING","필수값 또는 견적 총액·비용라인 대사를 확인하세요.",IF(E11&lt;TODAY(),"견적 유효기간이 만료되었습니다.",IF(AD11="NO_CONTROL","바이어 부킹 거래입니다.",IF(AD11="UNSUPPORTED","KCCI 직접 비교 대상이 아닙니다.","검증 통과"))))</f>
        <v>바이어 부킹 거래입니다.</v>
      </c>
      <c r="AG11" s="8" t="s">
        <v>338</v>
      </c>
    </row>
    <row r="12" customFormat="false" ht="15" hidden="false" customHeight="false" outlineLevel="0" collapsed="false">
      <c r="A12" s="25" t="s">
        <v>282</v>
      </c>
      <c r="B12" s="25" t="s">
        <v>233</v>
      </c>
      <c r="C12" s="25" t="s">
        <v>64</v>
      </c>
      <c r="D12" s="26" t="n">
        <v>46213</v>
      </c>
      <c r="E12" s="26" t="n">
        <v>46219</v>
      </c>
      <c r="F12" s="33" t="s">
        <v>339</v>
      </c>
      <c r="G12" s="25" t="s">
        <v>311</v>
      </c>
      <c r="H12" s="25" t="s">
        <v>312</v>
      </c>
      <c r="I12" s="25" t="s">
        <v>67</v>
      </c>
      <c r="J12" s="25" t="s">
        <v>152</v>
      </c>
      <c r="K12" s="25" t="s">
        <v>101</v>
      </c>
      <c r="L12" s="25" t="s">
        <v>112</v>
      </c>
      <c r="M12" s="25" t="n">
        <v>1</v>
      </c>
      <c r="N12" s="26" t="n">
        <v>46235</v>
      </c>
      <c r="O12" s="26" t="n">
        <v>46260</v>
      </c>
      <c r="P12" s="25" t="n">
        <f aca="false">IF(OR(N12="",O12=""),"",O12-N12)</f>
        <v>25</v>
      </c>
      <c r="Q12" s="25" t="s">
        <v>97</v>
      </c>
      <c r="R12" s="25" t="n">
        <v>0</v>
      </c>
      <c r="S12" s="27" t="n">
        <v>8160</v>
      </c>
      <c r="T12" s="25" t="s">
        <v>66</v>
      </c>
      <c r="U12" s="25" t="s">
        <v>141</v>
      </c>
      <c r="V12" s="25" t="n">
        <v>7</v>
      </c>
      <c r="W12" s="31" t="n">
        <f aca="false">SUMIF(견적비용!$A$2:$A$200,A12,견적비용!$M$2:$M$200)</f>
        <v>8160</v>
      </c>
      <c r="X12" s="31" t="n">
        <f aca="false">W12-S12</f>
        <v>0</v>
      </c>
      <c r="Y12" s="31" t="n">
        <f aca="false">SUMIFS(견적비용!$M$2:$M$200,견적비용!$A$2:$A$200,A12,견적비용!$L$2:$L$200,"Y")</f>
        <v>7000</v>
      </c>
      <c r="Z12" s="28" t="str">
        <f aca="false">IFERROR(VLOOKUP(B12,선적계획!$A$2:$AF$100,32,FALSE()),"")</f>
        <v>KMEI</v>
      </c>
      <c r="AA12" s="31" t="n">
        <f aca="false">IFERROR(VLOOKUP(Z12,시장스냅샷!$E$2:$G$20,3,FALSE()),"")</f>
        <v>7164</v>
      </c>
      <c r="AB12" s="34" t="n">
        <f aca="false">IF(IFERROR(VLOOKUP(B12,선적계획!$A$2:$AE$100,31,FALSE()),"")&lt;&gt;"DIRECT","",IFERROR((Y12/M12-AA12)/AA12,""))</f>
        <v>-0.022892238972641</v>
      </c>
      <c r="AC12" s="34" t="n">
        <f aca="false">IF(U12&lt;&gt;IFERROR(VLOOKUP(B12,선적계획!$A$2:$AA$100,27,FALSE()),""),"",IFERROR((S12-VLOOKUP(B12,선적계획!$A$2:$Y$100,25,FALSE()))/VLOOKUP(B12,선적계획!$A$2:$Y$100,25,FALSE()),""))</f>
        <v>-0.00487804878048781</v>
      </c>
      <c r="AD12" s="28" t="str">
        <f aca="false">IF(IFERROR(VLOOKUP(B12,선적계획!$A$2:$AE$100,31,FALSE()),"")="DIRECT",IF(Y12&gt;0,"DIRECT","PARTIAL"),IF(IFERROR(VLOOKUP(B12,선적계획!$A$2:$AE$100,31,FALSE()),"")="NO_CONTROL","NO_CONTROL","UNSUPPORTED"))</f>
        <v>DIRECT</v>
      </c>
      <c r="AE12" s="28" t="str">
        <f aca="true">IF(OR(A12="",B12="",D12="",E12="",F12="",I12="",J12="",S12="",T12="",U12="",W12=0),"BLOCKING",IF(ABS(X12)&gt;0.01,"BLOCKING",IF(OR(E12&lt;TODAY(),AD12&lt;&gt;"DIRECT"),"WARNING","OK")))</f>
        <v>OK</v>
      </c>
      <c r="AF12" s="29" t="str">
        <f aca="true">IF(AE12="BLOCKING","필수값 또는 견적 총액·비용라인 대사를 확인하세요.",IF(E12&lt;TODAY(),"견적 유효기간이 만료되었습니다.",IF(AD12="NO_CONTROL","바이어 부킹 거래입니다.",IF(AD12="UNSUPPORTED","KCCI 직접 비교 대상이 아닙니다.","검증 통과"))))</f>
        <v>검증 통과</v>
      </c>
      <c r="AG12" s="8" t="s">
        <v>340</v>
      </c>
    </row>
    <row r="13" customFormat="false" ht="15" hidden="false" customHeight="false" outlineLevel="0" collapsed="false">
      <c r="A13" s="25" t="s">
        <v>285</v>
      </c>
      <c r="B13" s="25" t="s">
        <v>233</v>
      </c>
      <c r="C13" s="25" t="s">
        <v>64</v>
      </c>
      <c r="D13" s="26" t="n">
        <v>46214</v>
      </c>
      <c r="E13" s="26" t="n">
        <v>46220</v>
      </c>
      <c r="F13" s="33" t="s">
        <v>341</v>
      </c>
      <c r="G13" s="25" t="s">
        <v>314</v>
      </c>
      <c r="H13" s="25" t="s">
        <v>315</v>
      </c>
      <c r="I13" s="25" t="s">
        <v>67</v>
      </c>
      <c r="J13" s="25" t="s">
        <v>152</v>
      </c>
      <c r="K13" s="25" t="s">
        <v>101</v>
      </c>
      <c r="L13" s="25" t="s">
        <v>112</v>
      </c>
      <c r="M13" s="25" t="n">
        <v>1</v>
      </c>
      <c r="N13" s="26" t="n">
        <v>46237</v>
      </c>
      <c r="O13" s="26" t="n">
        <v>46265</v>
      </c>
      <c r="P13" s="25" t="n">
        <f aca="false">IF(OR(N13="",O13=""),"",O13-N13)</f>
        <v>28</v>
      </c>
      <c r="Q13" s="25" t="s">
        <v>92</v>
      </c>
      <c r="R13" s="25" t="n">
        <v>1</v>
      </c>
      <c r="S13" s="27" t="n">
        <v>8270</v>
      </c>
      <c r="T13" s="25" t="s">
        <v>66</v>
      </c>
      <c r="U13" s="25" t="s">
        <v>141</v>
      </c>
      <c r="V13" s="25" t="n">
        <v>5</v>
      </c>
      <c r="W13" s="31" t="n">
        <f aca="false">SUMIF(견적비용!$A$2:$A$200,A13,견적비용!$M$2:$M$200)</f>
        <v>8270</v>
      </c>
      <c r="X13" s="31" t="n">
        <f aca="false">W13-S13</f>
        <v>0</v>
      </c>
      <c r="Y13" s="31" t="n">
        <f aca="false">SUMIFS(견적비용!$M$2:$M$200,견적비용!$A$2:$A$200,A13,견적비용!$L$2:$L$200,"Y")</f>
        <v>7230</v>
      </c>
      <c r="Z13" s="28" t="str">
        <f aca="false">IFERROR(VLOOKUP(B13,선적계획!$A$2:$AF$100,32,FALSE()),"")</f>
        <v>KMEI</v>
      </c>
      <c r="AA13" s="31" t="n">
        <f aca="false">IFERROR(VLOOKUP(Z13,시장스냅샷!$E$2:$G$20,3,FALSE()),"")</f>
        <v>7164</v>
      </c>
      <c r="AB13" s="34" t="n">
        <f aca="false">IF(IFERROR(VLOOKUP(B13,선적계획!$A$2:$AE$100,31,FALSE()),"")&lt;&gt;"DIRECT","",IFERROR((Y13/M13-AA13)/AA13,""))</f>
        <v>0.00921273031825796</v>
      </c>
      <c r="AC13" s="34" t="n">
        <f aca="false">IF(U13&lt;&gt;IFERROR(VLOOKUP(B13,선적계획!$A$2:$AA$100,27,FALSE()),""),"",IFERROR((S13-VLOOKUP(B13,선적계획!$A$2:$Y$100,25,FALSE()))/VLOOKUP(B13,선적계획!$A$2:$Y$100,25,FALSE()),""))</f>
        <v>0.00853658536585366</v>
      </c>
      <c r="AD13" s="28" t="str">
        <f aca="false">IF(IFERROR(VLOOKUP(B13,선적계획!$A$2:$AE$100,31,FALSE()),"")="DIRECT",IF(Y13&gt;0,"DIRECT","PARTIAL"),IF(IFERROR(VLOOKUP(B13,선적계획!$A$2:$AE$100,31,FALSE()),"")="NO_CONTROL","NO_CONTROL","UNSUPPORTED"))</f>
        <v>DIRECT</v>
      </c>
      <c r="AE13" s="28" t="str">
        <f aca="true">IF(OR(A13="",B13="",D13="",E13="",F13="",I13="",J13="",S13="",T13="",U13="",W13=0),"BLOCKING",IF(ABS(X13)&gt;0.01,"BLOCKING",IF(OR(E13&lt;TODAY(),AD13&lt;&gt;"DIRECT"),"WARNING","OK")))</f>
        <v>OK</v>
      </c>
      <c r="AF13" s="29" t="str">
        <f aca="true">IF(AE13="BLOCKING","필수값 또는 견적 총액·비용라인 대사를 확인하세요.",IF(E13&lt;TODAY(),"견적 유효기간이 만료되었습니다.",IF(AD13="NO_CONTROL","바이어 부킹 거래입니다.",IF(AD13="UNSUPPORTED","KCCI 직접 비교 대상이 아닙니다.","검증 통과"))))</f>
        <v>검증 통과</v>
      </c>
      <c r="AG13" s="7" t="s">
        <v>342</v>
      </c>
    </row>
  </sheetData>
  <conditionalFormatting sqref="AE2:AE13">
    <cfRule type="containsText" priority="2" operator="containsText" aboveAverage="0" equalAverage="0" bottom="0" percent="0" rank="0" text="BLOCKING" dxfId="34">
      <formula>NOT(ISERROR(SEARCH("BLOCKING",AE2)))</formula>
    </cfRule>
    <cfRule type="containsText" priority="3" operator="containsText" aboveAverage="0" equalAverage="0" bottom="0" percent="0" rank="0" text="WARNING" dxfId="35">
      <formula>NOT(ISERROR(SEARCH("WARNING",AE2)))</formula>
    </cfRule>
    <cfRule type="containsText" priority="4" operator="containsText" aboveAverage="0" equalAverage="0" bottom="0" percent="0" rank="0" text="OK" dxfId="36">
      <formula>NOT(ISERROR(SEARCH("OK",AE2)))</formula>
    </cfRule>
  </conditionalFormatting>
  <conditionalFormatting sqref="AB2:AC13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2">
    <dataValidation allowBlank="false" errorStyle="stop" operator="between" showDropDown="false" showErrorMessage="false" showInputMessage="false" sqref="Q2:Q13" type="list">
      <formula1>"Y,N"</formula1>
      <formula2>0</formula2>
    </dataValidation>
    <dataValidation allowBlank="false" errorStyle="stop" operator="between" showDropDown="false" showErrorMessage="false" showInputMessage="false" sqref="U2:U13" type="list">
      <formula1>"OCEAN_COMPARABLE,OCEAN_ALL_IN,ORIGIN_ONLY,ORIGIN_ALL_IN,DOOR_TO_PORT,DOOR_TO_DOOR"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2" min="1" style="0" width="21.48"/>
    <col collapsed="false" customWidth="true" hidden="false" outlineLevel="0" max="4" min="3" style="0" width="19.1"/>
    <col collapsed="false" customWidth="true" hidden="false" outlineLevel="0" max="5" min="5" style="0" width="26.26"/>
    <col collapsed="false" customWidth="true" hidden="false" outlineLevel="0" max="6" min="6" style="0" width="20.29"/>
    <col collapsed="false" customWidth="true" hidden="false" outlineLevel="0" max="8" min="7" style="0" width="19.1"/>
    <col collapsed="false" customWidth="true" hidden="false" outlineLevel="0" max="10" min="9" style="0" width="17.9"/>
    <col collapsed="false" customWidth="true" hidden="false" outlineLevel="0" max="11" min="11" style="0" width="21.48"/>
    <col collapsed="false" customWidth="true" hidden="false" outlineLevel="0" max="12" min="12" style="0" width="17.9"/>
    <col collapsed="false" customWidth="true" hidden="false" outlineLevel="0" max="13" min="13" style="0" width="19.1"/>
    <col collapsed="false" customWidth="true" hidden="false" outlineLevel="0" max="14" min="14" style="0" width="26.26"/>
    <col collapsed="false" customWidth="true" hidden="false" outlineLevel="0" max="15" min="15" style="0" width="20.29"/>
    <col collapsed="false" customWidth="true" hidden="false" outlineLevel="0" max="16" min="16" style="0" width="14.33"/>
    <col collapsed="false" customWidth="true" hidden="false" outlineLevel="0" max="17" min="17" style="0" width="26.26"/>
    <col collapsed="false" customWidth="true" hidden="false" outlineLevel="0" max="18" min="18" style="0" width="21.48"/>
    <col collapsed="false" customWidth="true" hidden="false" outlineLevel="0" max="19" min="19" style="0" width="28.65"/>
    <col collapsed="false" customWidth="true" hidden="false" outlineLevel="0" max="22" min="20" style="0" width="23.87"/>
    <col collapsed="false" customWidth="true" hidden="false" outlineLevel="0" max="23" min="23" style="0" width="14.33"/>
    <col collapsed="false" customWidth="true" hidden="false" outlineLevel="0" max="24" min="24" style="0" width="40.58"/>
  </cols>
  <sheetData>
    <row r="1" customFormat="false" ht="23.85" hidden="false" customHeight="false" outlineLevel="0" collapsed="false">
      <c r="A1" s="13" t="s">
        <v>343</v>
      </c>
      <c r="B1" s="9" t="s">
        <v>50</v>
      </c>
      <c r="C1" s="9" t="s">
        <v>181</v>
      </c>
      <c r="D1" s="9" t="s">
        <v>182</v>
      </c>
      <c r="E1" s="9" t="s">
        <v>77</v>
      </c>
      <c r="F1" s="9" t="s">
        <v>183</v>
      </c>
      <c r="G1" s="9" t="s">
        <v>86</v>
      </c>
      <c r="H1" s="9" t="s">
        <v>189</v>
      </c>
      <c r="I1" s="9" t="s">
        <v>344</v>
      </c>
      <c r="J1" s="9" t="s">
        <v>291</v>
      </c>
      <c r="K1" s="9" t="s">
        <v>345</v>
      </c>
      <c r="L1" s="9" t="s">
        <v>292</v>
      </c>
      <c r="M1" s="9" t="s">
        <v>346</v>
      </c>
      <c r="N1" s="9" t="s">
        <v>347</v>
      </c>
      <c r="O1" s="9" t="s">
        <v>348</v>
      </c>
      <c r="P1" s="9" t="s">
        <v>243</v>
      </c>
      <c r="Q1" s="9" t="s">
        <v>85</v>
      </c>
      <c r="R1" s="9" t="s">
        <v>349</v>
      </c>
      <c r="S1" s="9" t="s">
        <v>350</v>
      </c>
      <c r="T1" s="9" t="s">
        <v>351</v>
      </c>
      <c r="U1" s="9" t="s">
        <v>352</v>
      </c>
      <c r="V1" s="9" t="s">
        <v>353</v>
      </c>
      <c r="W1" s="9" t="s">
        <v>187</v>
      </c>
      <c r="X1" s="14" t="s">
        <v>62</v>
      </c>
    </row>
    <row r="2" customFormat="false" ht="15" hidden="false" customHeight="false" outlineLevel="0" collapsed="false">
      <c r="A2" s="15" t="s">
        <v>354</v>
      </c>
      <c r="B2" s="15" t="s">
        <v>64</v>
      </c>
      <c r="C2" s="15" t="s">
        <v>67</v>
      </c>
      <c r="D2" s="15" t="s">
        <v>93</v>
      </c>
      <c r="E2" s="15" t="s">
        <v>112</v>
      </c>
      <c r="F2" s="15" t="n">
        <v>1</v>
      </c>
      <c r="G2" s="15" t="s">
        <v>100</v>
      </c>
      <c r="H2" s="15" t="s">
        <v>128</v>
      </c>
      <c r="I2" s="21" t="n">
        <v>45902</v>
      </c>
      <c r="J2" s="21" t="n">
        <v>45912</v>
      </c>
      <c r="K2" s="21" t="n">
        <v>45913</v>
      </c>
      <c r="L2" s="21" t="n">
        <v>45932</v>
      </c>
      <c r="M2" s="21" t="n">
        <v>45934</v>
      </c>
      <c r="N2" s="22" t="n">
        <v>4200</v>
      </c>
      <c r="O2" s="22" t="n">
        <v>4380</v>
      </c>
      <c r="P2" s="15" t="s">
        <v>66</v>
      </c>
      <c r="Q2" s="15" t="s">
        <v>126</v>
      </c>
      <c r="R2" s="23" t="n">
        <f aca="false">IF(OR(L2="",M2=""),"",M2-L2)</f>
        <v>2</v>
      </c>
      <c r="S2" s="32" t="n">
        <f aca="false">IFERROR((O2-N2)/N2,"")</f>
        <v>0.0428571428571429</v>
      </c>
      <c r="T2" s="20" t="s">
        <v>355</v>
      </c>
      <c r="U2" s="20" t="s">
        <v>356</v>
      </c>
      <c r="V2" s="20" t="s">
        <v>357</v>
      </c>
      <c r="W2" s="20" t="s">
        <v>202</v>
      </c>
      <c r="X2" s="5" t="s">
        <v>358</v>
      </c>
    </row>
    <row r="3" customFormat="false" ht="15" hidden="false" customHeight="false" outlineLevel="0" collapsed="false">
      <c r="A3" s="25" t="s">
        <v>359</v>
      </c>
      <c r="B3" s="25" t="s">
        <v>64</v>
      </c>
      <c r="C3" s="25" t="s">
        <v>67</v>
      </c>
      <c r="D3" s="25" t="s">
        <v>130</v>
      </c>
      <c r="E3" s="25" t="s">
        <v>112</v>
      </c>
      <c r="F3" s="25" t="n">
        <v>1</v>
      </c>
      <c r="G3" s="25" t="s">
        <v>100</v>
      </c>
      <c r="H3" s="25" t="s">
        <v>136</v>
      </c>
      <c r="I3" s="26" t="n">
        <v>45915</v>
      </c>
      <c r="J3" s="26" t="n">
        <v>45928</v>
      </c>
      <c r="K3" s="26" t="n">
        <v>45928</v>
      </c>
      <c r="L3" s="26" t="n">
        <v>45959</v>
      </c>
      <c r="M3" s="26" t="n">
        <v>45961</v>
      </c>
      <c r="N3" s="27" t="n">
        <v>3600</v>
      </c>
      <c r="O3" s="27" t="n">
        <v>3710</v>
      </c>
      <c r="P3" s="25" t="s">
        <v>66</v>
      </c>
      <c r="Q3" s="25" t="s">
        <v>126</v>
      </c>
      <c r="R3" s="28" t="n">
        <f aca="false">IF(OR(L3="",M3=""),"",M3-L3)</f>
        <v>2</v>
      </c>
      <c r="S3" s="34" t="n">
        <f aca="false">IFERROR((O3-N3)/N3,"")</f>
        <v>0.0305555555555556</v>
      </c>
      <c r="T3" s="12" t="s">
        <v>360</v>
      </c>
      <c r="U3" s="12" t="s">
        <v>361</v>
      </c>
      <c r="V3" s="12" t="s">
        <v>362</v>
      </c>
      <c r="W3" s="12" t="s">
        <v>208</v>
      </c>
      <c r="X3" s="7" t="s">
        <v>358</v>
      </c>
    </row>
    <row r="4" customFormat="false" ht="15" hidden="false" customHeight="false" outlineLevel="0" collapsed="false">
      <c r="A4" s="25" t="s">
        <v>363</v>
      </c>
      <c r="B4" s="25" t="s">
        <v>64</v>
      </c>
      <c r="C4" s="25" t="s">
        <v>67</v>
      </c>
      <c r="D4" s="25" t="s">
        <v>158</v>
      </c>
      <c r="E4" s="25" t="s">
        <v>103</v>
      </c>
      <c r="F4" s="25" t="n">
        <v>1</v>
      </c>
      <c r="G4" s="25" t="s">
        <v>100</v>
      </c>
      <c r="H4" s="25" t="s">
        <v>142</v>
      </c>
      <c r="I4" s="26" t="n">
        <v>45933</v>
      </c>
      <c r="J4" s="26" t="n">
        <v>45940</v>
      </c>
      <c r="K4" s="26" t="n">
        <v>45940</v>
      </c>
      <c r="L4" s="26" t="n">
        <v>45952</v>
      </c>
      <c r="M4" s="26" t="n">
        <v>45952</v>
      </c>
      <c r="N4" s="27" t="n">
        <v>1050</v>
      </c>
      <c r="O4" s="27" t="n">
        <v>1035</v>
      </c>
      <c r="P4" s="25" t="s">
        <v>66</v>
      </c>
      <c r="Q4" s="25" t="s">
        <v>126</v>
      </c>
      <c r="R4" s="28" t="n">
        <f aca="false">IF(OR(L4="",M4=""),"",M4-L4)</f>
        <v>0</v>
      </c>
      <c r="S4" s="34" t="n">
        <f aca="false">IFERROR((O4-N4)/N4,"")</f>
        <v>-0.0142857142857143</v>
      </c>
      <c r="T4" s="12" t="s">
        <v>364</v>
      </c>
      <c r="U4" s="12" t="s">
        <v>365</v>
      </c>
      <c r="V4" s="12" t="s">
        <v>366</v>
      </c>
      <c r="W4" s="12" t="s">
        <v>202</v>
      </c>
      <c r="X4" s="7" t="s">
        <v>358</v>
      </c>
    </row>
    <row r="5" customFormat="false" ht="15" hidden="false" customHeight="false" outlineLevel="0" collapsed="false">
      <c r="A5" s="25" t="s">
        <v>367</v>
      </c>
      <c r="B5" s="25" t="s">
        <v>64</v>
      </c>
      <c r="C5" s="25" t="s">
        <v>67</v>
      </c>
      <c r="D5" s="25" t="s">
        <v>93</v>
      </c>
      <c r="E5" s="25" t="s">
        <v>112</v>
      </c>
      <c r="F5" s="25" t="n">
        <v>2</v>
      </c>
      <c r="G5" s="25" t="s">
        <v>100</v>
      </c>
      <c r="H5" s="25" t="s">
        <v>128</v>
      </c>
      <c r="I5" s="26" t="n">
        <v>45966</v>
      </c>
      <c r="J5" s="26" t="n">
        <v>45978</v>
      </c>
      <c r="K5" s="26" t="n">
        <v>45980</v>
      </c>
      <c r="L5" s="26" t="n">
        <v>45999</v>
      </c>
      <c r="M5" s="26" t="n">
        <v>46003</v>
      </c>
      <c r="N5" s="27" t="n">
        <v>8650</v>
      </c>
      <c r="O5" s="27" t="n">
        <v>9020</v>
      </c>
      <c r="P5" s="25" t="s">
        <v>66</v>
      </c>
      <c r="Q5" s="25" t="s">
        <v>126</v>
      </c>
      <c r="R5" s="28" t="n">
        <f aca="false">IF(OR(L5="",M5=""),"",M5-L5)</f>
        <v>4</v>
      </c>
      <c r="S5" s="34" t="n">
        <f aca="false">IFERROR((O5-N5)/N5,"")</f>
        <v>0.0427745664739884</v>
      </c>
      <c r="T5" s="12" t="s">
        <v>368</v>
      </c>
      <c r="U5" s="12" t="s">
        <v>369</v>
      </c>
      <c r="V5" s="12" t="s">
        <v>370</v>
      </c>
      <c r="W5" s="12" t="s">
        <v>202</v>
      </c>
      <c r="X5" s="8" t="s">
        <v>371</v>
      </c>
    </row>
    <row r="6" customFormat="false" ht="15" hidden="false" customHeight="false" outlineLevel="0" collapsed="false">
      <c r="A6" s="25" t="s">
        <v>372</v>
      </c>
      <c r="B6" s="25" t="s">
        <v>64</v>
      </c>
      <c r="C6" s="25" t="s">
        <v>67</v>
      </c>
      <c r="D6" s="25" t="s">
        <v>130</v>
      </c>
      <c r="E6" s="25" t="s">
        <v>112</v>
      </c>
      <c r="F6" s="25" t="n">
        <v>1</v>
      </c>
      <c r="G6" s="25" t="s">
        <v>100</v>
      </c>
      <c r="H6" s="25" t="s">
        <v>136</v>
      </c>
      <c r="I6" s="26" t="n">
        <v>46034</v>
      </c>
      <c r="J6" s="26" t="n">
        <v>46046</v>
      </c>
      <c r="K6" s="26" t="n">
        <v>46046</v>
      </c>
      <c r="L6" s="26" t="n">
        <v>46077</v>
      </c>
      <c r="M6" s="26" t="n">
        <v>46078</v>
      </c>
      <c r="N6" s="27" t="n">
        <v>4100</v>
      </c>
      <c r="O6" s="27" t="n">
        <v>4220</v>
      </c>
      <c r="P6" s="25" t="s">
        <v>66</v>
      </c>
      <c r="Q6" s="25" t="s">
        <v>126</v>
      </c>
      <c r="R6" s="28" t="n">
        <f aca="false">IF(OR(L6="",M6=""),"",M6-L6)</f>
        <v>1</v>
      </c>
      <c r="S6" s="34" t="n">
        <f aca="false">IFERROR((O6-N6)/N6,"")</f>
        <v>0.0292682926829268</v>
      </c>
      <c r="T6" s="12" t="s">
        <v>373</v>
      </c>
      <c r="U6" s="12" t="s">
        <v>374</v>
      </c>
      <c r="V6" s="12" t="s">
        <v>375</v>
      </c>
      <c r="W6" s="12" t="s">
        <v>208</v>
      </c>
      <c r="X6" s="7" t="s">
        <v>358</v>
      </c>
    </row>
    <row r="7" customFormat="false" ht="15" hidden="false" customHeight="false" outlineLevel="0" collapsed="false">
      <c r="A7" s="25" t="s">
        <v>376</v>
      </c>
      <c r="B7" s="25" t="s">
        <v>64</v>
      </c>
      <c r="C7" s="25" t="s">
        <v>67</v>
      </c>
      <c r="D7" s="25" t="s">
        <v>158</v>
      </c>
      <c r="E7" s="25" t="s">
        <v>103</v>
      </c>
      <c r="F7" s="25" t="n">
        <v>1</v>
      </c>
      <c r="G7" s="25" t="s">
        <v>100</v>
      </c>
      <c r="H7" s="25" t="s">
        <v>142</v>
      </c>
      <c r="I7" s="26" t="n">
        <v>46071</v>
      </c>
      <c r="J7" s="26" t="n">
        <v>46078</v>
      </c>
      <c r="K7" s="26" t="n">
        <v>46078</v>
      </c>
      <c r="L7" s="26" t="n">
        <v>46090</v>
      </c>
      <c r="M7" s="26" t="n">
        <v>46091</v>
      </c>
      <c r="N7" s="27" t="n">
        <v>1110</v>
      </c>
      <c r="O7" s="27" t="n">
        <v>1145</v>
      </c>
      <c r="P7" s="25" t="s">
        <v>66</v>
      </c>
      <c r="Q7" s="25" t="s">
        <v>126</v>
      </c>
      <c r="R7" s="28" t="n">
        <f aca="false">IF(OR(L7="",M7=""),"",M7-L7)</f>
        <v>1</v>
      </c>
      <c r="S7" s="34" t="n">
        <f aca="false">IFERROR((O7-N7)/N7,"")</f>
        <v>0.0315315315315315</v>
      </c>
      <c r="T7" s="12" t="s">
        <v>377</v>
      </c>
      <c r="U7" s="12" t="s">
        <v>378</v>
      </c>
      <c r="V7" s="12" t="s">
        <v>379</v>
      </c>
      <c r="W7" s="12" t="s">
        <v>202</v>
      </c>
      <c r="X7" s="7" t="s">
        <v>358</v>
      </c>
    </row>
    <row r="8" customFormat="false" ht="15" hidden="false" customHeight="false" outlineLevel="0" collapsed="false">
      <c r="A8" s="25" t="s">
        <v>380</v>
      </c>
      <c r="B8" s="25" t="s">
        <v>64</v>
      </c>
      <c r="C8" s="25" t="s">
        <v>67</v>
      </c>
      <c r="D8" s="25" t="s">
        <v>93</v>
      </c>
      <c r="E8" s="25" t="s">
        <v>112</v>
      </c>
      <c r="F8" s="25" t="n">
        <v>1</v>
      </c>
      <c r="G8" s="25" t="s">
        <v>100</v>
      </c>
      <c r="H8" s="25" t="s">
        <v>128</v>
      </c>
      <c r="I8" s="26" t="n">
        <v>46113</v>
      </c>
      <c r="J8" s="26" t="n">
        <v>46124</v>
      </c>
      <c r="K8" s="26" t="n">
        <v>46126</v>
      </c>
      <c r="L8" s="26" t="n">
        <v>46145</v>
      </c>
      <c r="M8" s="26" t="n">
        <v>46150</v>
      </c>
      <c r="N8" s="27" t="n">
        <v>5100</v>
      </c>
      <c r="O8" s="27" t="n">
        <v>5480</v>
      </c>
      <c r="P8" s="25" t="s">
        <v>66</v>
      </c>
      <c r="Q8" s="25" t="s">
        <v>126</v>
      </c>
      <c r="R8" s="28" t="n">
        <f aca="false">IF(OR(L8="",M8=""),"",M8-L8)</f>
        <v>5</v>
      </c>
      <c r="S8" s="34" t="n">
        <f aca="false">IFERROR((O8-N8)/N8,"")</f>
        <v>0.0745098039215686</v>
      </c>
      <c r="T8" s="12" t="s">
        <v>381</v>
      </c>
      <c r="U8" s="12" t="s">
        <v>382</v>
      </c>
      <c r="V8" s="12" t="s">
        <v>383</v>
      </c>
      <c r="W8" s="12" t="s">
        <v>202</v>
      </c>
      <c r="X8" s="7" t="s">
        <v>384</v>
      </c>
    </row>
    <row r="9" customFormat="false" ht="15" hidden="false" customHeight="false" outlineLevel="0" collapsed="false">
      <c r="A9" s="25" t="s">
        <v>385</v>
      </c>
      <c r="B9" s="25" t="s">
        <v>64</v>
      </c>
      <c r="C9" s="25" t="s">
        <v>67</v>
      </c>
      <c r="D9" s="25" t="s">
        <v>152</v>
      </c>
      <c r="E9" s="25" t="s">
        <v>112</v>
      </c>
      <c r="F9" s="25" t="n">
        <v>1</v>
      </c>
      <c r="G9" s="25" t="s">
        <v>100</v>
      </c>
      <c r="H9" s="25" t="s">
        <v>156</v>
      </c>
      <c r="I9" s="26" t="n">
        <v>46152</v>
      </c>
      <c r="J9" s="26" t="n">
        <v>46165</v>
      </c>
      <c r="K9" s="26" t="n">
        <v>46165</v>
      </c>
      <c r="L9" s="26" t="n">
        <v>46192</v>
      </c>
      <c r="M9" s="26" t="n">
        <v>46194</v>
      </c>
      <c r="N9" s="27" t="n">
        <v>6900</v>
      </c>
      <c r="O9" s="27" t="n">
        <v>7040</v>
      </c>
      <c r="P9" s="25" t="s">
        <v>66</v>
      </c>
      <c r="Q9" s="25" t="s">
        <v>141</v>
      </c>
      <c r="R9" s="28" t="n">
        <f aca="false">IF(OR(L9="",M9=""),"",M9-L9)</f>
        <v>2</v>
      </c>
      <c r="S9" s="34" t="n">
        <f aca="false">IFERROR((O9-N9)/N9,"")</f>
        <v>0.0202898550724638</v>
      </c>
      <c r="T9" s="12" t="s">
        <v>386</v>
      </c>
      <c r="U9" s="12" t="s">
        <v>387</v>
      </c>
      <c r="V9" s="12" t="s">
        <v>388</v>
      </c>
      <c r="W9" s="12" t="s">
        <v>208</v>
      </c>
      <c r="X9" s="7" t="s">
        <v>358</v>
      </c>
    </row>
  </sheetData>
  <dataValidations count="1">
    <dataValidation allowBlank="false" errorStyle="stop" operator="between" showDropDown="false" showErrorMessage="false" showInputMessage="false" sqref="F2:F9" type="whole">
      <formula1>1</formula1>
      <formula2>20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2" min="1" style="0" width="26.26"/>
    <col collapsed="false" customWidth="true" hidden="false" outlineLevel="0" max="4" min="3" style="0" width="19.1"/>
    <col collapsed="false" customWidth="true" hidden="false" outlineLevel="0" max="5" min="5" style="0" width="16.71"/>
    <col collapsed="false" customWidth="true" hidden="false" outlineLevel="0" max="6" min="6" style="0" width="31.03"/>
    <col collapsed="false" customWidth="true" hidden="false" outlineLevel="0" max="8" min="7" style="0" width="17.9"/>
    <col collapsed="false" customWidth="true" hidden="false" outlineLevel="0" max="9" min="9" style="0" width="85.94"/>
    <col collapsed="false" customWidth="true" hidden="false" outlineLevel="0" max="10" min="10" style="0" width="45.35"/>
  </cols>
  <sheetData>
    <row r="1" customFormat="false" ht="15" hidden="false" customHeight="false" outlineLevel="0" collapsed="false">
      <c r="A1" s="13" t="s">
        <v>389</v>
      </c>
      <c r="B1" s="9" t="s">
        <v>50</v>
      </c>
      <c r="C1" s="9" t="s">
        <v>390</v>
      </c>
      <c r="D1" s="9" t="s">
        <v>391</v>
      </c>
      <c r="E1" s="9" t="s">
        <v>392</v>
      </c>
      <c r="F1" s="9" t="s">
        <v>393</v>
      </c>
      <c r="G1" s="9" t="s">
        <v>394</v>
      </c>
      <c r="H1" s="9" t="s">
        <v>395</v>
      </c>
      <c r="I1" s="9" t="s">
        <v>396</v>
      </c>
      <c r="J1" s="14" t="s">
        <v>397</v>
      </c>
    </row>
    <row r="2" customFormat="false" ht="15" hidden="false" customHeight="false" outlineLevel="0" collapsed="false">
      <c r="A2" s="35" t="s">
        <v>398</v>
      </c>
      <c r="B2" s="35" t="s">
        <v>399</v>
      </c>
      <c r="C2" s="36" t="n">
        <v>46209</v>
      </c>
      <c r="D2" s="36" t="n">
        <v>46209</v>
      </c>
      <c r="E2" s="35" t="s">
        <v>400</v>
      </c>
      <c r="F2" s="35" t="s">
        <v>401</v>
      </c>
      <c r="G2" s="37" t="n">
        <v>4330</v>
      </c>
      <c r="H2" s="35" t="s">
        <v>402</v>
      </c>
      <c r="I2" s="38" t="s">
        <v>34</v>
      </c>
      <c r="J2" s="39" t="s">
        <v>403</v>
      </c>
    </row>
    <row r="3" customFormat="false" ht="15" hidden="false" customHeight="false" outlineLevel="0" collapsed="false">
      <c r="A3" s="40" t="s">
        <v>404</v>
      </c>
      <c r="B3" s="40" t="s">
        <v>399</v>
      </c>
      <c r="C3" s="41" t="n">
        <v>46209</v>
      </c>
      <c r="D3" s="41" t="n">
        <v>46209</v>
      </c>
      <c r="E3" s="40" t="s">
        <v>94</v>
      </c>
      <c r="F3" s="40" t="s">
        <v>95</v>
      </c>
      <c r="G3" s="42" t="n">
        <v>6922</v>
      </c>
      <c r="H3" s="40" t="s">
        <v>405</v>
      </c>
      <c r="I3" s="43" t="s">
        <v>34</v>
      </c>
      <c r="J3" s="44" t="s">
        <v>406</v>
      </c>
    </row>
    <row r="4" customFormat="false" ht="15" hidden="false" customHeight="false" outlineLevel="0" collapsed="false">
      <c r="A4" s="40" t="s">
        <v>407</v>
      </c>
      <c r="B4" s="40" t="s">
        <v>399</v>
      </c>
      <c r="C4" s="41" t="n">
        <v>46209</v>
      </c>
      <c r="D4" s="41" t="n">
        <v>46209</v>
      </c>
      <c r="E4" s="40" t="s">
        <v>114</v>
      </c>
      <c r="F4" s="40" t="s">
        <v>115</v>
      </c>
      <c r="G4" s="42" t="n">
        <v>8421</v>
      </c>
      <c r="H4" s="40" t="s">
        <v>405</v>
      </c>
      <c r="I4" s="43" t="s">
        <v>34</v>
      </c>
      <c r="J4" s="44" t="s">
        <v>406</v>
      </c>
    </row>
    <row r="5" customFormat="false" ht="15" hidden="false" customHeight="false" outlineLevel="0" collapsed="false">
      <c r="A5" s="40" t="s">
        <v>408</v>
      </c>
      <c r="B5" s="40" t="s">
        <v>399</v>
      </c>
      <c r="C5" s="41" t="n">
        <v>46209</v>
      </c>
      <c r="D5" s="41" t="n">
        <v>46209</v>
      </c>
      <c r="E5" s="40" t="s">
        <v>131</v>
      </c>
      <c r="F5" s="40" t="s">
        <v>132</v>
      </c>
      <c r="G5" s="42" t="n">
        <v>5332</v>
      </c>
      <c r="H5" s="40" t="s">
        <v>405</v>
      </c>
      <c r="I5" s="43" t="s">
        <v>34</v>
      </c>
      <c r="J5" s="44" t="s">
        <v>406</v>
      </c>
    </row>
    <row r="6" customFormat="false" ht="15" hidden="false" customHeight="false" outlineLevel="0" collapsed="false">
      <c r="A6" s="40" t="s">
        <v>409</v>
      </c>
      <c r="B6" s="40" t="s">
        <v>399</v>
      </c>
      <c r="C6" s="41" t="n">
        <v>46209</v>
      </c>
      <c r="D6" s="41" t="n">
        <v>46209</v>
      </c>
      <c r="E6" s="40" t="s">
        <v>145</v>
      </c>
      <c r="F6" s="40" t="s">
        <v>146</v>
      </c>
      <c r="G6" s="42" t="n">
        <v>6468</v>
      </c>
      <c r="H6" s="40" t="s">
        <v>405</v>
      </c>
      <c r="I6" s="43" t="s">
        <v>34</v>
      </c>
      <c r="J6" s="44" t="s">
        <v>406</v>
      </c>
    </row>
    <row r="7" customFormat="false" ht="15" hidden="false" customHeight="false" outlineLevel="0" collapsed="false">
      <c r="A7" s="40" t="s">
        <v>410</v>
      </c>
      <c r="B7" s="40" t="s">
        <v>399</v>
      </c>
      <c r="C7" s="41" t="n">
        <v>46209</v>
      </c>
      <c r="D7" s="41" t="n">
        <v>46209</v>
      </c>
      <c r="E7" s="40" t="s">
        <v>153</v>
      </c>
      <c r="F7" s="40" t="s">
        <v>154</v>
      </c>
      <c r="G7" s="42" t="n">
        <v>7164</v>
      </c>
      <c r="H7" s="40" t="s">
        <v>405</v>
      </c>
      <c r="I7" s="43" t="s">
        <v>34</v>
      </c>
      <c r="J7" s="44" t="s">
        <v>406</v>
      </c>
    </row>
    <row r="8" customFormat="false" ht="15" hidden="false" customHeight="false" outlineLevel="0" collapsed="false">
      <c r="A8" s="40" t="s">
        <v>411</v>
      </c>
      <c r="B8" s="40" t="s">
        <v>399</v>
      </c>
      <c r="C8" s="41" t="n">
        <v>46209</v>
      </c>
      <c r="D8" s="41" t="n">
        <v>46209</v>
      </c>
      <c r="E8" s="40" t="s">
        <v>173</v>
      </c>
      <c r="F8" s="40" t="s">
        <v>174</v>
      </c>
      <c r="G8" s="42" t="n">
        <v>3574</v>
      </c>
      <c r="H8" s="40" t="s">
        <v>405</v>
      </c>
      <c r="I8" s="43" t="s">
        <v>34</v>
      </c>
      <c r="J8" s="44" t="s">
        <v>406</v>
      </c>
    </row>
    <row r="9" customFormat="false" ht="15" hidden="false" customHeight="false" outlineLevel="0" collapsed="false">
      <c r="A9" s="40" t="s">
        <v>412</v>
      </c>
      <c r="B9" s="40" t="s">
        <v>399</v>
      </c>
      <c r="C9" s="41" t="n">
        <v>46209</v>
      </c>
      <c r="D9" s="41" t="n">
        <v>46209</v>
      </c>
      <c r="E9" s="40" t="s">
        <v>413</v>
      </c>
      <c r="F9" s="40" t="s">
        <v>414</v>
      </c>
      <c r="G9" s="42" t="n">
        <v>7854</v>
      </c>
      <c r="H9" s="40" t="s">
        <v>405</v>
      </c>
      <c r="I9" s="43" t="s">
        <v>34</v>
      </c>
      <c r="J9" s="44" t="s">
        <v>406</v>
      </c>
    </row>
    <row r="10" customFormat="false" ht="15" hidden="false" customHeight="false" outlineLevel="0" collapsed="false">
      <c r="A10" s="40" t="s">
        <v>415</v>
      </c>
      <c r="B10" s="40" t="s">
        <v>399</v>
      </c>
      <c r="C10" s="41" t="n">
        <v>46209</v>
      </c>
      <c r="D10" s="41" t="n">
        <v>46209</v>
      </c>
      <c r="E10" s="40" t="s">
        <v>416</v>
      </c>
      <c r="F10" s="40" t="s">
        <v>417</v>
      </c>
      <c r="G10" s="42" t="n">
        <v>5851</v>
      </c>
      <c r="H10" s="40" t="s">
        <v>405</v>
      </c>
      <c r="I10" s="43" t="s">
        <v>34</v>
      </c>
      <c r="J10" s="44" t="s">
        <v>406</v>
      </c>
    </row>
    <row r="11" customFormat="false" ht="15" hidden="false" customHeight="false" outlineLevel="0" collapsed="false">
      <c r="A11" s="40" t="s">
        <v>418</v>
      </c>
      <c r="B11" s="40" t="s">
        <v>399</v>
      </c>
      <c r="C11" s="41" t="n">
        <v>46209</v>
      </c>
      <c r="D11" s="41" t="n">
        <v>46209</v>
      </c>
      <c r="E11" s="40" t="s">
        <v>419</v>
      </c>
      <c r="F11" s="40" t="s">
        <v>420</v>
      </c>
      <c r="G11" s="42" t="n">
        <v>3602</v>
      </c>
      <c r="H11" s="40" t="s">
        <v>405</v>
      </c>
      <c r="I11" s="43" t="s">
        <v>34</v>
      </c>
      <c r="J11" s="44" t="s">
        <v>406</v>
      </c>
    </row>
    <row r="12" customFormat="false" ht="15" hidden="false" customHeight="false" outlineLevel="0" collapsed="false">
      <c r="A12" s="40" t="s">
        <v>421</v>
      </c>
      <c r="B12" s="40" t="s">
        <v>399</v>
      </c>
      <c r="C12" s="41" t="n">
        <v>46209</v>
      </c>
      <c r="D12" s="41" t="n">
        <v>46209</v>
      </c>
      <c r="E12" s="40" t="s">
        <v>422</v>
      </c>
      <c r="F12" s="40" t="s">
        <v>423</v>
      </c>
      <c r="G12" s="42" t="n">
        <v>5419</v>
      </c>
      <c r="H12" s="40" t="s">
        <v>405</v>
      </c>
      <c r="I12" s="43" t="s">
        <v>34</v>
      </c>
      <c r="J12" s="44" t="s">
        <v>406</v>
      </c>
    </row>
    <row r="13" customFormat="false" ht="15" hidden="false" customHeight="false" outlineLevel="0" collapsed="false">
      <c r="A13" s="40" t="s">
        <v>424</v>
      </c>
      <c r="B13" s="40" t="s">
        <v>399</v>
      </c>
      <c r="C13" s="41" t="n">
        <v>46209</v>
      </c>
      <c r="D13" s="41" t="n">
        <v>46209</v>
      </c>
      <c r="E13" s="40" t="s">
        <v>169</v>
      </c>
      <c r="F13" s="40" t="s">
        <v>170</v>
      </c>
      <c r="G13" s="42" t="n">
        <v>57</v>
      </c>
      <c r="H13" s="40" t="s">
        <v>405</v>
      </c>
      <c r="I13" s="43" t="s">
        <v>34</v>
      </c>
      <c r="J13" s="44" t="s">
        <v>425</v>
      </c>
    </row>
    <row r="14" customFormat="false" ht="15" hidden="false" customHeight="false" outlineLevel="0" collapsed="false">
      <c r="A14" s="40" t="s">
        <v>426</v>
      </c>
      <c r="B14" s="40" t="s">
        <v>399</v>
      </c>
      <c r="C14" s="41" t="n">
        <v>46209</v>
      </c>
      <c r="D14" s="41" t="n">
        <v>46209</v>
      </c>
      <c r="E14" s="40" t="s">
        <v>164</v>
      </c>
      <c r="F14" s="40" t="s">
        <v>165</v>
      </c>
      <c r="G14" s="42" t="n">
        <v>239</v>
      </c>
      <c r="H14" s="40" t="s">
        <v>405</v>
      </c>
      <c r="I14" s="43" t="s">
        <v>34</v>
      </c>
      <c r="J14" s="44" t="s">
        <v>425</v>
      </c>
    </row>
    <row r="15" customFormat="false" ht="15" hidden="false" customHeight="false" outlineLevel="0" collapsed="false">
      <c r="A15" s="40" t="s">
        <v>427</v>
      </c>
      <c r="B15" s="40" t="s">
        <v>399</v>
      </c>
      <c r="C15" s="41" t="n">
        <v>46209</v>
      </c>
      <c r="D15" s="41" t="n">
        <v>46209</v>
      </c>
      <c r="E15" s="40" t="s">
        <v>159</v>
      </c>
      <c r="F15" s="40" t="s">
        <v>160</v>
      </c>
      <c r="G15" s="42" t="n">
        <v>1125</v>
      </c>
      <c r="H15" s="40" t="s">
        <v>405</v>
      </c>
      <c r="I15" s="43" t="s">
        <v>34</v>
      </c>
      <c r="J15" s="44" t="s">
        <v>406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9.84"/>
    <col collapsed="false" customWidth="true" hidden="false" outlineLevel="0" max="2" min="2" style="0" width="21.48"/>
    <col collapsed="false" customWidth="true" hidden="false" outlineLevel="0" max="4" min="3" style="0" width="45.35"/>
    <col collapsed="false" customWidth="true" hidden="false" outlineLevel="0" max="5" min="5" style="0" width="28.65"/>
    <col collapsed="false" customWidth="true" hidden="false" outlineLevel="0" max="6" min="6" style="0" width="40.58"/>
  </cols>
  <sheetData>
    <row r="1" customFormat="false" ht="15" hidden="false" customHeight="false" outlineLevel="0" collapsed="false">
      <c r="A1" s="1" t="s">
        <v>428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4" customFormat="false" ht="15" hidden="false" customHeight="false" outlineLevel="0" collapsed="false">
      <c r="A4" s="2" t="s">
        <v>429</v>
      </c>
      <c r="B4" s="3" t="s">
        <v>430</v>
      </c>
      <c r="D4" s="13" t="s">
        <v>431</v>
      </c>
      <c r="E4" s="10" t="s">
        <v>432</v>
      </c>
      <c r="F4" s="3" t="s">
        <v>433</v>
      </c>
    </row>
    <row r="5" customFormat="false" ht="26.85" hidden="false" customHeight="false" outlineLevel="0" collapsed="false">
      <c r="A5" s="4" t="s">
        <v>434</v>
      </c>
      <c r="B5" s="45" t="n">
        <f aca="false">COUNTA(선적계획!$A$2:$A$100)</f>
        <v>8</v>
      </c>
      <c r="D5" s="20" t="s">
        <v>435</v>
      </c>
      <c r="E5" s="5" t="s">
        <v>436</v>
      </c>
      <c r="F5" s="20" t="s">
        <v>437</v>
      </c>
    </row>
    <row r="6" customFormat="false" ht="26.85" hidden="false" customHeight="false" outlineLevel="0" collapsed="false">
      <c r="A6" s="6" t="s">
        <v>438</v>
      </c>
      <c r="B6" s="46" t="n">
        <f aca="false">COUNTIF(선적계획!$AC$2:$AC$100,"BLOCKING")</f>
        <v>0</v>
      </c>
      <c r="D6" s="12" t="s">
        <v>439</v>
      </c>
      <c r="E6" s="8" t="s">
        <v>440</v>
      </c>
      <c r="F6" s="12" t="s">
        <v>437</v>
      </c>
    </row>
    <row r="7" customFormat="false" ht="26.85" hidden="false" customHeight="false" outlineLevel="0" collapsed="false">
      <c r="A7" s="6" t="s">
        <v>441</v>
      </c>
      <c r="B7" s="46" t="n">
        <f aca="false">COUNTIF(선적계획!$AC$2:$AC$100,"WARNING")</f>
        <v>4</v>
      </c>
      <c r="D7" s="12" t="s">
        <v>442</v>
      </c>
      <c r="E7" s="8" t="s">
        <v>443</v>
      </c>
      <c r="F7" s="12" t="s">
        <v>437</v>
      </c>
    </row>
    <row r="8" customFormat="false" ht="26.85" hidden="false" customHeight="false" outlineLevel="0" collapsed="false">
      <c r="A8" s="12" t="s">
        <v>444</v>
      </c>
      <c r="B8" s="46" t="n">
        <f aca="false">COUNTIF(선적계획!$AE$2:$AE$100,"DIRECT")</f>
        <v>4</v>
      </c>
      <c r="D8" s="12" t="s">
        <v>445</v>
      </c>
      <c r="E8" s="7" t="s">
        <v>446</v>
      </c>
      <c r="F8" s="12" t="s">
        <v>447</v>
      </c>
    </row>
    <row r="9" customFormat="false" ht="25.35" hidden="false" customHeight="false" outlineLevel="0" collapsed="false">
      <c r="A9" s="6" t="s">
        <v>448</v>
      </c>
      <c r="B9" s="46" t="n">
        <f aca="false">COUNTA(견적헤더!$A$2:$A$100)</f>
        <v>12</v>
      </c>
      <c r="D9" s="12" t="s">
        <v>449</v>
      </c>
      <c r="E9" s="7" t="s">
        <v>450</v>
      </c>
      <c r="F9" s="12" t="s">
        <v>437</v>
      </c>
    </row>
    <row r="10" customFormat="false" ht="15" hidden="false" customHeight="false" outlineLevel="0" collapsed="false">
      <c r="A10" s="6" t="s">
        <v>451</v>
      </c>
      <c r="B10" s="46" t="n">
        <f aca="false">COUNTIF(견적헤더!$AE$2:$AE$100,"BLOCKING")</f>
        <v>0</v>
      </c>
      <c r="D10" s="12" t="s">
        <v>452</v>
      </c>
      <c r="E10" s="7" t="s">
        <v>453</v>
      </c>
      <c r="F10" s="12" t="s">
        <v>454</v>
      </c>
    </row>
    <row r="11" customFormat="false" ht="15" hidden="false" customHeight="false" outlineLevel="0" collapsed="false">
      <c r="A11" s="6" t="s">
        <v>455</v>
      </c>
      <c r="B11" s="46" t="n">
        <f aca="false">COUNTIF(견적헤더!$AE$2:$AE$100,"WARNING")</f>
        <v>4</v>
      </c>
      <c r="D11" s="12" t="s">
        <v>456</v>
      </c>
      <c r="E11" s="7" t="s">
        <v>457</v>
      </c>
      <c r="F11" s="12" t="s">
        <v>437</v>
      </c>
    </row>
    <row r="12" customFormat="false" ht="26.85" hidden="false" customHeight="false" outlineLevel="0" collapsed="false">
      <c r="A12" s="6" t="s">
        <v>458</v>
      </c>
      <c r="B12" s="46" t="n">
        <f aca="false">COUNTIF(견적비용!$O$2:$O$200,"BLOCKING")</f>
        <v>0</v>
      </c>
      <c r="D12" s="12" t="s">
        <v>459</v>
      </c>
      <c r="E12" s="7" t="s">
        <v>460</v>
      </c>
      <c r="F12" s="12" t="s">
        <v>461</v>
      </c>
    </row>
    <row r="14" customFormat="false" ht="15" hidden="false" customHeight="false" outlineLevel="0" collapsed="false">
      <c r="A14" s="2" t="s">
        <v>462</v>
      </c>
      <c r="B14" s="10" t="s">
        <v>463</v>
      </c>
      <c r="C14" s="10" t="s">
        <v>464</v>
      </c>
      <c r="D14" s="10" t="s">
        <v>465</v>
      </c>
      <c r="E14" s="10" t="s">
        <v>466</v>
      </c>
      <c r="F14" s="3" t="s">
        <v>76</v>
      </c>
    </row>
    <row r="15" customFormat="false" ht="15" hidden="false" customHeight="false" outlineLevel="0" collapsed="false">
      <c r="A15" s="4" t="s">
        <v>467</v>
      </c>
      <c r="B15" s="20" t="str">
        <f aca="false">IF(SUM(B6,B10,B12)=0,"PASS","FAIL")</f>
        <v>PASS</v>
      </c>
      <c r="C15" s="11" t="s">
        <v>468</v>
      </c>
      <c r="D15" s="11" t="s">
        <v>469</v>
      </c>
      <c r="E15" s="11" t="s">
        <v>470</v>
      </c>
      <c r="F15" s="5" t="s">
        <v>471</v>
      </c>
    </row>
    <row r="16" customFormat="false" ht="15" hidden="false" customHeight="false" outlineLevel="0" collapsed="false">
      <c r="A16" s="12" t="s">
        <v>472</v>
      </c>
      <c r="B16" s="12" t="n">
        <v>4330</v>
      </c>
      <c r="C16" s="8" t="s">
        <v>473</v>
      </c>
      <c r="D16" s="7" t="s">
        <v>474</v>
      </c>
      <c r="E16" s="8" t="s">
        <v>475</v>
      </c>
      <c r="F16" s="7" t="s">
        <v>476</v>
      </c>
    </row>
    <row r="17" customFormat="false" ht="15" hidden="false" customHeight="false" outlineLevel="0" collapsed="false">
      <c r="A17" s="6" t="s">
        <v>477</v>
      </c>
      <c r="B17" s="12" t="s">
        <v>64</v>
      </c>
      <c r="C17" s="7" t="s">
        <v>478</v>
      </c>
      <c r="D17" s="7" t="s">
        <v>479</v>
      </c>
      <c r="E17" s="7" t="s">
        <v>480</v>
      </c>
      <c r="F17" s="7" t="s">
        <v>481</v>
      </c>
    </row>
    <row r="18" customFormat="false" ht="15" hidden="false" customHeight="false" outlineLevel="0" collapsed="false">
      <c r="A18" s="6" t="s">
        <v>482</v>
      </c>
      <c r="B18" s="12" t="s">
        <v>399</v>
      </c>
      <c r="C18" s="7" t="s">
        <v>483</v>
      </c>
      <c r="D18" s="8" t="s">
        <v>484</v>
      </c>
      <c r="E18" s="8" t="s">
        <v>485</v>
      </c>
      <c r="F18" s="7" t="s">
        <v>486</v>
      </c>
    </row>
  </sheetData>
  <mergeCells count="1">
    <mergeCell ref="A1:F2"/>
  </mergeCells>
  <conditionalFormatting sqref="B15">
    <cfRule type="containsText" priority="2" operator="containsText" aboveAverage="0" equalAverage="0" bottom="0" percent="0" rank="0" text="PASS" dxfId="37">
      <formula>NOT(ISERROR(SEARCH("PASS",B15)))</formula>
    </cfRule>
    <cfRule type="containsText" priority="3" operator="containsText" aboveAverage="0" equalAverage="0" bottom="0" percent="0" rank="0" text="FAIL" dxfId="38">
      <formula>NOT(ISERROR(SEARCH("FAIL",B15)))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cp:revision>0</cp:revision>
  <dc:subject/>
  <dc:title/>
</cp:coreProperties>
</file>